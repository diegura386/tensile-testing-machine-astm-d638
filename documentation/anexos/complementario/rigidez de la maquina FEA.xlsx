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95ce65fe04daea0b/Documentos/Proyecto Final 2022/Maquina de Traccion/Hardware/Emsamble Solidworks/calculos fea/medidas de referencias para calculo/git/"/>
    </mc:Choice>
  </mc:AlternateContent>
  <xr:revisionPtr revIDLastSave="1302" documentId="8_{82C7A73C-4036-4C01-BA95-9D20BF769663}" xr6:coauthVersionLast="47" xr6:coauthVersionMax="47" xr10:uidLastSave="{D1BACE93-C4E8-4116-AD4A-F80569D81FE6}"/>
  <bookViews>
    <workbookView xWindow="14400" yWindow="8235" windowWidth="43200" windowHeight="23445" tabRatio="842" xr2:uid="{00000000-000D-0000-FFFF-FFFF00000000}"/>
  </bookViews>
  <sheets>
    <sheet name="pretension en pernos" sheetId="1" r:id="rId1"/>
    <sheet name="mordaza sin cuñas" sheetId="8" r:id="rId2"/>
    <sheet name="mordaza con cuñas" sheetId="12" r:id="rId3"/>
    <sheet name="pasador mordaza" sheetId="18" r:id="rId4"/>
    <sheet name="Perno union mordaza" sheetId="9" r:id="rId5"/>
    <sheet name="Pasador rotula inf" sheetId="5" r:id="rId6"/>
    <sheet name="rotula" sheetId="6" r:id="rId7"/>
    <sheet name="Travezaño fijo" sheetId="3" r:id="rId8"/>
    <sheet name="Tornillo" sheetId="10" r:id="rId9"/>
    <sheet name="Tuerca" sheetId="11" r:id="rId10"/>
    <sheet name="Travezaño movil" sheetId="2" r:id="rId11"/>
    <sheet name="Pasador rotula sup" sheetId="4" r:id="rId12"/>
    <sheet name="celda de carga" sheetId="7" r:id="rId13"/>
    <sheet name="probeta ensayo" sheetId="17" r:id="rId14"/>
    <sheet name="sumatoria de desp con cuñas" sheetId="13" r:id="rId15"/>
    <sheet name="sumatoria de desplazamiento" sheetId="14" r:id="rId16"/>
    <sheet name="e elastica maq" sheetId="19" r:id="rId17"/>
    <sheet name="sum de desp comparadores" sheetId="16"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16" l="1"/>
  <c r="K26" i="16"/>
  <c r="K25" i="16"/>
  <c r="D5" i="17"/>
  <c r="E5" i="17"/>
  <c r="F5" i="17"/>
  <c r="G5" i="17"/>
  <c r="H5" i="17" s="1"/>
  <c r="I5" i="17" s="1"/>
  <c r="J5" i="17" s="1"/>
  <c r="K5" i="17" s="1"/>
  <c r="L5" i="17" s="1"/>
  <c r="C5" i="17"/>
  <c r="B5" i="17"/>
  <c r="C10" i="7"/>
  <c r="C4" i="17"/>
  <c r="D4" i="17"/>
  <c r="E4" i="17"/>
  <c r="F4" i="17"/>
  <c r="G4" i="17"/>
  <c r="H4" i="17"/>
  <c r="I4" i="17"/>
  <c r="J4" i="17"/>
  <c r="K4" i="17"/>
  <c r="L4" i="17"/>
  <c r="B4" i="17"/>
  <c r="E19" i="14"/>
  <c r="C4" i="19"/>
  <c r="D4" i="19"/>
  <c r="E4" i="19"/>
  <c r="F4" i="19"/>
  <c r="G4" i="19"/>
  <c r="H4" i="19"/>
  <c r="I4" i="19"/>
  <c r="J4" i="19"/>
  <c r="K4" i="19"/>
  <c r="B4" i="19"/>
  <c r="C3" i="19"/>
  <c r="D3" i="19"/>
  <c r="E3" i="19"/>
  <c r="F3" i="19"/>
  <c r="G3" i="19"/>
  <c r="H3" i="19"/>
  <c r="I3" i="19"/>
  <c r="J3" i="19"/>
  <c r="K3" i="19"/>
  <c r="B3" i="19"/>
  <c r="N2" i="19"/>
  <c r="T66" i="14"/>
  <c r="L19" i="14"/>
  <c r="G3" i="1" l="1"/>
  <c r="I8" i="5"/>
  <c r="C8" i="5"/>
  <c r="K18" i="14"/>
  <c r="K19" i="14" s="1"/>
  <c r="E8" i="5"/>
  <c r="D8" i="5"/>
  <c r="B8" i="5"/>
  <c r="M8" i="6"/>
  <c r="B17" i="16"/>
  <c r="B20" i="16" s="1"/>
  <c r="H29" i="16"/>
  <c r="H30" i="16" s="1"/>
  <c r="C27" i="16"/>
  <c r="C28" i="16" s="1"/>
  <c r="D27" i="16"/>
  <c r="D28" i="16" s="1"/>
  <c r="E27" i="16"/>
  <c r="E28" i="16" s="1"/>
  <c r="F27" i="16"/>
  <c r="F28" i="16" s="1"/>
  <c r="G27" i="16"/>
  <c r="G28" i="16" s="1"/>
  <c r="H27" i="16"/>
  <c r="H28" i="16" s="1"/>
  <c r="I27" i="16"/>
  <c r="I28" i="16" s="1"/>
  <c r="J27" i="16"/>
  <c r="J28" i="16" s="1"/>
  <c r="K27" i="16"/>
  <c r="L27" i="16"/>
  <c r="L34" i="16" s="1"/>
  <c r="B27" i="16"/>
  <c r="B28" i="16" s="1"/>
  <c r="C29" i="16"/>
  <c r="D29" i="16"/>
  <c r="E29" i="16"/>
  <c r="E30" i="16" s="1"/>
  <c r="F29" i="16"/>
  <c r="G29" i="16"/>
  <c r="I29" i="16"/>
  <c r="I30" i="16" s="1"/>
  <c r="J29" i="16"/>
  <c r="J30" i="16" s="1"/>
  <c r="K29" i="16"/>
  <c r="K30" i="16" s="1"/>
  <c r="L29" i="16"/>
  <c r="L30" i="16" s="1"/>
  <c r="B29" i="16"/>
  <c r="B33" i="16" s="1"/>
  <c r="M18" i="14"/>
  <c r="M19" i="14" s="1"/>
  <c r="L32" i="16"/>
  <c r="K32" i="16"/>
  <c r="J32" i="16"/>
  <c r="I32" i="16"/>
  <c r="H32" i="16"/>
  <c r="G32" i="16"/>
  <c r="F32" i="16"/>
  <c r="E32" i="16"/>
  <c r="D32" i="16"/>
  <c r="D33" i="16" s="1"/>
  <c r="C32" i="16"/>
  <c r="C33" i="16" s="1"/>
  <c r="B32" i="16"/>
  <c r="L31" i="16"/>
  <c r="K31" i="16"/>
  <c r="J31" i="16"/>
  <c r="I31" i="16"/>
  <c r="H31" i="16"/>
  <c r="G31" i="16"/>
  <c r="F31" i="16"/>
  <c r="E31" i="16"/>
  <c r="D31" i="16"/>
  <c r="C31" i="16"/>
  <c r="B31" i="16"/>
  <c r="D30" i="16"/>
  <c r="L25" i="16"/>
  <c r="J25" i="16"/>
  <c r="I25" i="16"/>
  <c r="H25" i="16"/>
  <c r="G25" i="16"/>
  <c r="F25" i="16"/>
  <c r="E25" i="16"/>
  <c r="D25" i="16"/>
  <c r="C25" i="16"/>
  <c r="B25" i="16"/>
  <c r="L17" i="16"/>
  <c r="L20" i="16" s="1"/>
  <c r="K17" i="16"/>
  <c r="K21" i="16" s="1"/>
  <c r="J17" i="16"/>
  <c r="J20" i="16" s="1"/>
  <c r="J21" i="16" s="1"/>
  <c r="I17" i="16"/>
  <c r="I20" i="16" s="1"/>
  <c r="I21" i="16" s="1"/>
  <c r="H17" i="16"/>
  <c r="H20" i="16" s="1"/>
  <c r="H21" i="16" s="1"/>
  <c r="G17" i="16"/>
  <c r="G20" i="16" s="1"/>
  <c r="F17" i="16"/>
  <c r="F20" i="16" s="1"/>
  <c r="E17" i="16"/>
  <c r="E20" i="16" s="1"/>
  <c r="D17" i="16"/>
  <c r="D20" i="16" s="1"/>
  <c r="C17" i="16"/>
  <c r="C20" i="16" s="1"/>
  <c r="M26" i="14"/>
  <c r="L26" i="14"/>
  <c r="K26" i="14"/>
  <c r="J26" i="14"/>
  <c r="I26" i="14"/>
  <c r="H26" i="14"/>
  <c r="G26" i="14"/>
  <c r="F26" i="14"/>
  <c r="E26" i="14"/>
  <c r="D26" i="14"/>
  <c r="C26" i="14"/>
  <c r="M25" i="14"/>
  <c r="L25" i="14"/>
  <c r="K25" i="14"/>
  <c r="J25" i="14"/>
  <c r="I25" i="14"/>
  <c r="H25" i="14"/>
  <c r="G25" i="14"/>
  <c r="F25" i="14"/>
  <c r="E25" i="14"/>
  <c r="D25" i="14"/>
  <c r="C25" i="14"/>
  <c r="L18" i="14"/>
  <c r="J18" i="14"/>
  <c r="J19" i="14" s="1"/>
  <c r="I18" i="14"/>
  <c r="I19" i="14" s="1"/>
  <c r="H18" i="14"/>
  <c r="H19" i="14" s="1"/>
  <c r="G18" i="14"/>
  <c r="G19" i="14" s="1"/>
  <c r="F18" i="14"/>
  <c r="F19" i="14" s="1"/>
  <c r="E18" i="14"/>
  <c r="D18" i="14"/>
  <c r="D19" i="14" s="1"/>
  <c r="C18" i="14"/>
  <c r="C19" i="14" s="1"/>
  <c r="L16" i="13"/>
  <c r="K16" i="13"/>
  <c r="J16" i="13"/>
  <c r="I16" i="13"/>
  <c r="H16" i="13"/>
  <c r="G16" i="13"/>
  <c r="F16" i="13"/>
  <c r="E16" i="13"/>
  <c r="D16" i="13"/>
  <c r="C16" i="13"/>
  <c r="B16" i="13"/>
  <c r="M8" i="7"/>
  <c r="M9" i="7" s="1"/>
  <c r="L8" i="7"/>
  <c r="L9" i="7" s="1"/>
  <c r="K8" i="7"/>
  <c r="K9" i="7" s="1"/>
  <c r="J8" i="7"/>
  <c r="J9" i="7" s="1"/>
  <c r="I8" i="7"/>
  <c r="I9" i="7" s="1"/>
  <c r="H8" i="7"/>
  <c r="H9" i="7" s="1"/>
  <c r="G8" i="7"/>
  <c r="G9" i="7" s="1"/>
  <c r="F8" i="7"/>
  <c r="F9" i="7" s="1"/>
  <c r="E8" i="7"/>
  <c r="E9" i="7" s="1"/>
  <c r="D8" i="7"/>
  <c r="D9" i="7" s="1"/>
  <c r="C8" i="7"/>
  <c r="C9" i="7" s="1"/>
  <c r="B8" i="7"/>
  <c r="N8" i="12"/>
  <c r="M8" i="12"/>
  <c r="L8" i="12"/>
  <c r="K8" i="12"/>
  <c r="J8" i="12"/>
  <c r="I8" i="12"/>
  <c r="H8" i="12"/>
  <c r="G8" i="12"/>
  <c r="F8" i="12"/>
  <c r="E8" i="12"/>
  <c r="D8" i="12"/>
  <c r="C8" i="12"/>
  <c r="M8" i="8"/>
  <c r="L8" i="8"/>
  <c r="K8" i="8"/>
  <c r="J8" i="8"/>
  <c r="I8" i="8"/>
  <c r="H8" i="8"/>
  <c r="G8" i="8"/>
  <c r="F8" i="8"/>
  <c r="E8" i="8"/>
  <c r="D8" i="8"/>
  <c r="C8" i="8"/>
  <c r="B8" i="8"/>
  <c r="M9" i="11"/>
  <c r="L9" i="11"/>
  <c r="K9" i="11"/>
  <c r="J9" i="11"/>
  <c r="I9" i="11"/>
  <c r="H9" i="11"/>
  <c r="G9" i="11"/>
  <c r="F9" i="11"/>
  <c r="E9" i="11"/>
  <c r="D9" i="11"/>
  <c r="C9" i="11"/>
  <c r="B9" i="11"/>
  <c r="M9" i="10"/>
  <c r="L9" i="10"/>
  <c r="K9" i="10"/>
  <c r="J9" i="10"/>
  <c r="I9" i="10"/>
  <c r="H9" i="10"/>
  <c r="G9" i="10"/>
  <c r="F9" i="10"/>
  <c r="E9" i="10"/>
  <c r="D9" i="10"/>
  <c r="C9" i="10"/>
  <c r="B9" i="10"/>
  <c r="M8" i="9"/>
  <c r="L8" i="9"/>
  <c r="K8" i="9"/>
  <c r="J8" i="9"/>
  <c r="I8" i="9"/>
  <c r="H8" i="9"/>
  <c r="G8" i="9"/>
  <c r="F8" i="9"/>
  <c r="E8" i="9"/>
  <c r="D8" i="9"/>
  <c r="C8" i="9"/>
  <c r="B8" i="9"/>
  <c r="L8" i="6"/>
  <c r="K8" i="6"/>
  <c r="J8" i="6"/>
  <c r="I8" i="6"/>
  <c r="H8" i="6"/>
  <c r="G8" i="6"/>
  <c r="F8" i="6"/>
  <c r="E8" i="6"/>
  <c r="D8" i="6"/>
  <c r="C8" i="6"/>
  <c r="B8" i="6"/>
  <c r="M8" i="4"/>
  <c r="L8" i="4"/>
  <c r="K8" i="4"/>
  <c r="J8" i="4"/>
  <c r="I8" i="4"/>
  <c r="H8" i="4"/>
  <c r="G8" i="4"/>
  <c r="F8" i="4"/>
  <c r="E8" i="4"/>
  <c r="D8" i="4"/>
  <c r="C8" i="4"/>
  <c r="B8" i="4"/>
  <c r="M8" i="5"/>
  <c r="L8" i="5"/>
  <c r="K8" i="5"/>
  <c r="J8" i="5"/>
  <c r="H8" i="5"/>
  <c r="G8" i="5"/>
  <c r="F8" i="5"/>
  <c r="M8" i="3"/>
  <c r="L8" i="3"/>
  <c r="K8" i="3"/>
  <c r="J8" i="3"/>
  <c r="I8" i="3"/>
  <c r="H8" i="3"/>
  <c r="G8" i="3"/>
  <c r="F8" i="3"/>
  <c r="E8" i="3"/>
  <c r="D8" i="3"/>
  <c r="C8" i="3"/>
  <c r="B8" i="3"/>
  <c r="M8" i="2"/>
  <c r="L8" i="2"/>
  <c r="K8" i="2"/>
  <c r="J8" i="2"/>
  <c r="I8" i="2"/>
  <c r="H8" i="2"/>
  <c r="G8" i="2"/>
  <c r="F8" i="2"/>
  <c r="E8" i="2"/>
  <c r="D8" i="2"/>
  <c r="C8" i="2"/>
  <c r="B8" i="2"/>
  <c r="G20" i="1"/>
  <c r="G19" i="1"/>
  <c r="G18" i="1"/>
  <c r="G17" i="1"/>
  <c r="G16" i="1"/>
  <c r="G15" i="1"/>
  <c r="G14" i="1"/>
  <c r="G13" i="1"/>
  <c r="G12" i="1"/>
  <c r="G11" i="1"/>
  <c r="G10" i="1"/>
  <c r="G9" i="1"/>
  <c r="G8" i="1"/>
  <c r="G7" i="1"/>
  <c r="G6" i="1"/>
  <c r="G5" i="1"/>
  <c r="G4" i="1"/>
  <c r="F33" i="16" l="1"/>
  <c r="L26" i="16"/>
  <c r="D10" i="7"/>
  <c r="E10" i="7" s="1"/>
  <c r="F10" i="7" s="1"/>
  <c r="G10" i="7" s="1"/>
  <c r="H10" i="7" s="1"/>
  <c r="I10" i="7" s="1"/>
  <c r="J10" i="7" s="1"/>
  <c r="K10" i="7" s="1"/>
  <c r="L10" i="7" s="1"/>
  <c r="M10" i="7" s="1"/>
  <c r="C20" i="14"/>
  <c r="D20" i="14" s="1"/>
  <c r="E20" i="14" s="1"/>
  <c r="F20" i="14" s="1"/>
  <c r="G20" i="14" s="1"/>
  <c r="H20" i="14" s="1"/>
  <c r="I20" i="14" s="1"/>
  <c r="J20" i="14" s="1"/>
  <c r="K20" i="14" s="1"/>
  <c r="L20" i="14" s="1"/>
  <c r="M20" i="14" s="1"/>
  <c r="O20" i="14" s="1"/>
  <c r="L33" i="16"/>
  <c r="I33" i="16"/>
  <c r="K33" i="16"/>
  <c r="J33" i="16"/>
  <c r="K34" i="16"/>
  <c r="E33" i="16"/>
  <c r="G33" i="16"/>
  <c r="H33" i="16"/>
  <c r="D34" i="16"/>
  <c r="G34" i="16"/>
  <c r="J34" i="16"/>
  <c r="B30" i="16"/>
  <c r="F34" i="16"/>
  <c r="G26" i="16"/>
  <c r="C30" i="16"/>
  <c r="B34" i="16"/>
  <c r="C34" i="16"/>
  <c r="L21" i="16"/>
  <c r="B26" i="16"/>
  <c r="B21" i="16"/>
  <c r="C21" i="16"/>
  <c r="C26" i="16"/>
  <c r="D21" i="16"/>
  <c r="D26" i="16"/>
  <c r="E26" i="16"/>
  <c r="E21" i="16"/>
  <c r="F21" i="16"/>
  <c r="F26" i="16"/>
  <c r="H26" i="16"/>
  <c r="I26" i="16"/>
  <c r="J26" i="16"/>
  <c r="E34" i="16"/>
  <c r="H34" i="16"/>
  <c r="G21" i="16"/>
  <c r="I34" i="16"/>
  <c r="L28" i="16"/>
  <c r="F30" i="16"/>
  <c r="G30" i="16"/>
  <c r="K28" i="16"/>
  <c r="O22" i="14" l="1"/>
</calcChain>
</file>

<file path=xl/sharedStrings.xml><?xml version="1.0" encoding="utf-8"?>
<sst xmlns="http://schemas.openxmlformats.org/spreadsheetml/2006/main" count="297" uniqueCount="116">
  <si>
    <t>Conjunto travesaño movil</t>
  </si>
  <si>
    <t>Desplazamientos longitudinales [mm]</t>
  </si>
  <si>
    <t>Tensión aplicada [kN]</t>
  </si>
  <si>
    <t>Suma [mm]</t>
  </si>
  <si>
    <t>Avg [mm]</t>
  </si>
  <si>
    <t>Máx. [mm]</t>
  </si>
  <si>
    <t>Min. [mm]</t>
  </si>
  <si>
    <t>Valor RMS [mm]</t>
  </si>
  <si>
    <t>Desplazamiento Neto [mm]</t>
  </si>
  <si>
    <t>Torsión aplicada [Nm]</t>
  </si>
  <si>
    <t>Esfuerzo</t>
  </si>
  <si>
    <t>Dezplazamiento</t>
  </si>
  <si>
    <t>Conjunto mordaza inferior con cuñas</t>
  </si>
  <si>
    <t>Tensón</t>
  </si>
  <si>
    <t>Positivo</t>
  </si>
  <si>
    <t>Perno de unión mordaza</t>
  </si>
  <si>
    <t>Flexión</t>
  </si>
  <si>
    <t>Rotula Inferior</t>
  </si>
  <si>
    <t>Tensión</t>
  </si>
  <si>
    <t>Perno rotula inferior</t>
  </si>
  <si>
    <t>Travezaño fijo</t>
  </si>
  <si>
    <t>Tornillo de potencia</t>
  </si>
  <si>
    <t>Compresión</t>
  </si>
  <si>
    <t>Negativo</t>
  </si>
  <si>
    <t>Tuerca de potencia</t>
  </si>
  <si>
    <t>Travezaño movil</t>
  </si>
  <si>
    <t>Perno rotula superior</t>
  </si>
  <si>
    <t>Rotula Superior</t>
  </si>
  <si>
    <t>Celda de carga</t>
  </si>
  <si>
    <t>Tensión / Flexión</t>
  </si>
  <si>
    <t>Conjunto mordaza superior con cuñas</t>
  </si>
  <si>
    <t>Desplazamiento Neto total[mm]</t>
  </si>
  <si>
    <t>Probeta deformada 1%</t>
  </si>
  <si>
    <t>Probeta deformada 2%</t>
  </si>
  <si>
    <t>Probeta deformada 3%</t>
  </si>
  <si>
    <t>Rigidez de la máquina [kN/mm]</t>
  </si>
  <si>
    <t>Notas</t>
  </si>
  <si>
    <t>Medicion del comparador 1 menos lo que avanzo el tornillo</t>
  </si>
  <si>
    <t>Sujetado al marco de la maquina, palpador tocando encima del perfil del travesaño movil, en el eje de la tuerca</t>
  </si>
  <si>
    <t>Sujetado al lateral del travesaño movil, a la altura del eje del tornillo, palpador encima de la celda de carga, con esto sacamos de la ecuacion la lectura del giro del tornillo</t>
  </si>
  <si>
    <t>Medicion del comparador 4 menos el 3</t>
  </si>
  <si>
    <t>es igual al de la mordaza inferior</t>
  </si>
  <si>
    <t>Es lo que avanza el tornillo</t>
  </si>
  <si>
    <t>Es la medicion directa del comparador 2</t>
  </si>
  <si>
    <t>Es la medicion directa del comparador 3</t>
  </si>
  <si>
    <t>Sujetado al marco de la maquina en el eje del tornillo, palpador tocando debajo de la mordaza inferior</t>
  </si>
  <si>
    <t>Sujetado al marco de la maquina en el eje del tornillo, palpador tocando encima de la mordaza inferior</t>
  </si>
  <si>
    <t>Rotacion del tornillo (angulo)</t>
  </si>
  <si>
    <t>Es lo que gira el tornillo</t>
  </si>
  <si>
    <t>Valores debajo de la resolucion del comparador</t>
  </si>
  <si>
    <t>Precarca en tornillos bridas [Kn]</t>
  </si>
  <si>
    <t>Precarga en tornillos placa perifericos [Kn]</t>
  </si>
  <si>
    <t>Precarga tornilo central [Kn]</t>
  </si>
  <si>
    <t>Desplazamiento longitudinal para Esfuerzo de traccion por [KN]</t>
  </si>
  <si>
    <t>Desplazamiento longitudinal neto para Esfuero de traccion por [KN]</t>
  </si>
  <si>
    <t>Esfuerzo de traccion [Kn]</t>
  </si>
  <si>
    <t>Se realizaron varias pruebas a 10[Kn] con diferentes valores de precarga en los tornillos del cunjunto travesaño para evaluar con cual configuracion se genera el menor desplazamiento en Z, tambien teniendo en cuenta que no se comprometa el factor de seguridad por altos velores de precarga.</t>
  </si>
  <si>
    <t>Se encontro que la mejor configuracion es de 1 Kn en los tornillos de la brida, 3 Kn en los tornillos de la periferia de la placa y 6 Kn en el tornillo central</t>
  </si>
  <si>
    <t>Total</t>
  </si>
  <si>
    <t>Resolución del comparador</t>
  </si>
  <si>
    <t>Desplazamientos longitudinales medidos con comparador  [mm]</t>
  </si>
  <si>
    <t>Pasador mordaza</t>
  </si>
  <si>
    <t>e</t>
  </si>
  <si>
    <t>equiale al modelo comercial de similares caragacteristicas</t>
  </si>
  <si>
    <t>Corte</t>
  </si>
  <si>
    <t>Desplazamiento neto [mm]</t>
  </si>
  <si>
    <t>Promedio</t>
  </si>
  <si>
    <t>Desplazamiento Z en precarga probeta [0,1KN]</t>
  </si>
  <si>
    <t>no cambia mucho si se cambia de material aisi 304 ansi 1040 o 1010</t>
  </si>
  <si>
    <t>Componentes</t>
  </si>
  <si>
    <t>Pasador mordaza [2]</t>
  </si>
  <si>
    <t>Perno de unión mordaza [3]</t>
  </si>
  <si>
    <t>Rótula Inferior [4]</t>
  </si>
  <si>
    <t>Pasador rótula inferior [5]</t>
  </si>
  <si>
    <t>Conjunto travezaño fijo [6]</t>
  </si>
  <si>
    <t>Tornillo de potencia [7]</t>
  </si>
  <si>
    <t>Tuerca de potencia [8]</t>
  </si>
  <si>
    <t>Conjunto travezaño móvil [9]</t>
  </si>
  <si>
    <t>Pasador rótula superior [10]</t>
  </si>
  <si>
    <t>Rótula Superior [11]</t>
  </si>
  <si>
    <t>Tipo de esfuerzo</t>
  </si>
  <si>
    <t>Conjunto mordaza [1]</t>
  </si>
  <si>
    <t>DLET [mm]</t>
  </si>
  <si>
    <t>Combinado</t>
  </si>
  <si>
    <t>Flexión Corte</t>
  </si>
  <si>
    <t>Tensión Flexión</t>
  </si>
  <si>
    <t>Celda de carga [12]</t>
  </si>
  <si>
    <t>e% probeta</t>
  </si>
  <si>
    <t>e elastica maquina</t>
  </si>
  <si>
    <t>Fuerza de Tracción</t>
  </si>
  <si>
    <t>Rigidez de la celda de carga [kN/mm]</t>
  </si>
  <si>
    <t>Rigidez de la probeta de prueba [kN/mm]</t>
  </si>
  <si>
    <t>Conjunto Travezaño fijo</t>
  </si>
  <si>
    <t>Conjunto Travezaño móvil</t>
  </si>
  <si>
    <t>Conjunto mordaza inferior</t>
  </si>
  <si>
    <t>Conjunto mordaza superior</t>
  </si>
  <si>
    <t>Tensión   Flexión</t>
  </si>
  <si>
    <t>Tensión  Flexión</t>
  </si>
  <si>
    <t>Rótula Superior</t>
  </si>
  <si>
    <t>Pasador rótula inferior</t>
  </si>
  <si>
    <t>Rótula Inferior</t>
  </si>
  <si>
    <t>Pasador rótula superior</t>
  </si>
  <si>
    <t>Probeta de prueba</t>
  </si>
  <si>
    <t>Conjunto lateral externo [Z1]</t>
  </si>
  <si>
    <t>Conjunto travesaño movil superior [Z2]</t>
  </si>
  <si>
    <t>Conjunto travesaño inferior [Z3]</t>
  </si>
  <si>
    <t>Conjunto Mordaza inferior [Z4]</t>
  </si>
  <si>
    <t>Conjunto Mordaza superior [Z4]</t>
  </si>
  <si>
    <t>Medicion teórica del comparador 1</t>
  </si>
  <si>
    <t>Medicion teórica del comparador 2</t>
  </si>
  <si>
    <t>Medicion teórica del comparador 3</t>
  </si>
  <si>
    <t>Medicion teórica del comparador 4</t>
  </si>
  <si>
    <t>Dezplazamiento Total Máquina (sin celda de carga)</t>
  </si>
  <si>
    <t>Desplazamiento del tornillo</t>
  </si>
  <si>
    <t>Dezplazamiento interno de tracción sin celda</t>
  </si>
  <si>
    <t>Desplazamiento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</si>
</sst>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
    <numFmt numFmtId="166" formatCode="0.000"/>
    <numFmt numFmtId="167" formatCode="0.0"/>
    <numFmt numFmtId="168" formatCode="0.000000"/>
  </numFmts>
  <fonts count="11" x14ac:knownFonts="1">
    <font>
      <sz val="11"/>
      <color theme="1"/>
      <name val="Calibri"/>
      <family val="2"/>
      <scheme val="minor"/>
    </font>
    <font>
      <b/>
      <sz val="12"/>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b/>
      <sz val="11"/>
      <color rgb="FFCC0000"/>
      <name val="Calibri"/>
      <family val="2"/>
      <scheme val="minor"/>
    </font>
    <font>
      <b/>
      <sz val="14"/>
      <color theme="1"/>
      <name val="Calibri"/>
      <family val="2"/>
      <scheme val="minor"/>
    </font>
    <font>
      <b/>
      <sz val="16"/>
      <color theme="1"/>
      <name val="Calibri"/>
      <family val="2"/>
      <scheme val="minor"/>
    </font>
    <font>
      <b/>
      <sz val="11"/>
      <color theme="0"/>
      <name val="Calibri"/>
      <family val="2"/>
      <scheme val="minor"/>
    </font>
    <font>
      <b/>
      <sz val="11"/>
      <color rgb="FFC00000"/>
      <name val="Calibri"/>
      <family val="2"/>
      <scheme val="minor"/>
    </font>
    <font>
      <b/>
      <sz val="11"/>
      <color theme="9" tint="-0.499984740745262"/>
      <name val="Calibri"/>
      <family val="2"/>
      <scheme val="minor"/>
    </font>
  </fonts>
  <fills count="21">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9" tint="0.39997558519241921"/>
        <bgColor indexed="64"/>
      </patternFill>
    </fill>
    <fill>
      <patternFill patternType="solid">
        <fgColor theme="7"/>
        <bgColor indexed="64"/>
      </patternFill>
    </fill>
    <fill>
      <patternFill patternType="solid">
        <fgColor theme="1"/>
        <bgColor indexed="64"/>
      </patternFill>
    </fill>
    <fill>
      <patternFill patternType="solid">
        <fgColor theme="0" tint="-0.249977111117893"/>
        <bgColor indexed="64"/>
      </patternFill>
    </fill>
    <fill>
      <patternFill patternType="solid">
        <fgColor theme="0"/>
        <bgColor indexed="64"/>
      </patternFill>
    </fill>
    <fill>
      <patternFill patternType="solid">
        <fgColor rgb="FFF183F9"/>
        <bgColor indexed="64"/>
      </patternFill>
    </fill>
    <fill>
      <patternFill patternType="solid">
        <fgColor rgb="FF00B05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C0000"/>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2"/>
        <bgColor indexed="64"/>
      </patternFill>
    </fill>
    <fill>
      <patternFill patternType="solid">
        <fgColor theme="8" tint="0.59999389629810485"/>
        <bgColor indexed="64"/>
      </patternFill>
    </fill>
  </fills>
  <borders count="77">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rgb="FF000000"/>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rgb="FF000000"/>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indexed="64"/>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medium">
        <color indexed="64"/>
      </bottom>
      <diagonal/>
    </border>
    <border>
      <left style="medium">
        <color indexed="64"/>
      </left>
      <right style="thin">
        <color rgb="FF000000"/>
      </right>
      <top/>
      <bottom/>
      <diagonal/>
    </border>
    <border>
      <left style="medium">
        <color indexed="64"/>
      </left>
      <right style="thin">
        <color rgb="FF000000"/>
      </right>
      <top style="thin">
        <color indexed="64"/>
      </top>
      <bottom style="thin">
        <color rgb="FF000000"/>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thin">
        <color indexed="64"/>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indexed="64"/>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s>
  <cellStyleXfs count="1">
    <xf numFmtId="0" fontId="0" fillId="0" borderId="0"/>
  </cellStyleXfs>
  <cellXfs count="193">
    <xf numFmtId="0" fontId="0" fillId="0" borderId="0" xfId="0"/>
    <xf numFmtId="164" fontId="0" fillId="0" borderId="0" xfId="0" applyNumberFormat="1"/>
    <xf numFmtId="0" fontId="0" fillId="0" borderId="1" xfId="0" applyBorder="1"/>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3"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0" xfId="0" applyFont="1" applyAlignment="1">
      <alignment horizontal="center"/>
    </xf>
    <xf numFmtId="0" fontId="2" fillId="11" borderId="0" xfId="0" applyFont="1" applyFill="1"/>
    <xf numFmtId="165" fontId="2" fillId="11" borderId="0" xfId="0" applyNumberFormat="1" applyFont="1" applyFill="1"/>
    <xf numFmtId="0" fontId="2" fillId="11" borderId="0" xfId="0" applyFont="1" applyFill="1" applyAlignment="1">
      <alignment horizontal="center"/>
    </xf>
    <xf numFmtId="0" fontId="0" fillId="0" borderId="0" xfId="0" applyAlignment="1">
      <alignment horizontal="left"/>
    </xf>
    <xf numFmtId="165" fontId="0" fillId="0" borderId="0" xfId="0" applyNumberFormat="1"/>
    <xf numFmtId="0" fontId="4" fillId="0" borderId="0" xfId="0" applyFont="1"/>
    <xf numFmtId="0" fontId="2" fillId="0" borderId="1" xfId="0" applyFont="1" applyBorder="1" applyAlignment="1">
      <alignment horizontal="justify" vertical="justify" textRotation="90"/>
    </xf>
    <xf numFmtId="0" fontId="0" fillId="15" borderId="1" xfId="0" applyFill="1" applyBorder="1"/>
    <xf numFmtId="164" fontId="0" fillId="15" borderId="1" xfId="0" applyNumberFormat="1" applyFill="1" applyBorder="1"/>
    <xf numFmtId="0" fontId="0" fillId="2" borderId="1" xfId="0" applyFill="1" applyBorder="1"/>
    <xf numFmtId="164" fontId="0" fillId="2" borderId="1" xfId="0" applyNumberFormat="1" applyFill="1" applyBorder="1"/>
    <xf numFmtId="0" fontId="2" fillId="0" borderId="0" xfId="0" applyFont="1" applyAlignment="1">
      <alignment horizontal="justify" vertical="justify" textRotation="90"/>
    </xf>
    <xf numFmtId="164" fontId="0" fillId="0" borderId="1" xfId="0" applyNumberFormat="1" applyBorder="1" applyAlignment="1">
      <alignment horizontal="center" vertical="center"/>
    </xf>
    <xf numFmtId="0" fontId="2" fillId="0" borderId="1" xfId="0" applyFont="1" applyBorder="1" applyAlignment="1">
      <alignment horizontal="justify"/>
    </xf>
    <xf numFmtId="0" fontId="2" fillId="0" borderId="1" xfId="0" applyFont="1" applyBorder="1" applyAlignment="1">
      <alignment horizontal="justify" vertical="center"/>
    </xf>
    <xf numFmtId="0" fontId="2" fillId="15" borderId="1" xfId="0" applyFont="1" applyFill="1" applyBorder="1" applyAlignment="1">
      <alignment horizontal="justify" vertical="center"/>
    </xf>
    <xf numFmtId="164" fontId="0" fillId="15" borderId="1" xfId="0" applyNumberFormat="1" applyFill="1" applyBorder="1" applyAlignment="1">
      <alignment horizontal="center" vertical="center"/>
    </xf>
    <xf numFmtId="165" fontId="0" fillId="0" borderId="1" xfId="0" applyNumberFormat="1" applyBorder="1" applyAlignment="1">
      <alignment horizontal="center" vertical="center"/>
    </xf>
    <xf numFmtId="165" fontId="0" fillId="0" borderId="0" xfId="0" applyNumberFormat="1" applyAlignment="1">
      <alignment horizontal="center" vertical="center"/>
    </xf>
    <xf numFmtId="0" fontId="2" fillId="5" borderId="1" xfId="0" applyFont="1" applyFill="1" applyBorder="1" applyAlignment="1">
      <alignment horizontal="justify"/>
    </xf>
    <xf numFmtId="0" fontId="2" fillId="5" borderId="1" xfId="0" applyFont="1" applyFill="1" applyBorder="1" applyAlignment="1">
      <alignment horizontal="center" vertical="center"/>
    </xf>
    <xf numFmtId="0" fontId="2" fillId="15" borderId="1" xfId="0" applyFont="1" applyFill="1" applyBorder="1" applyAlignment="1">
      <alignment horizontal="justify"/>
    </xf>
    <xf numFmtId="165" fontId="0" fillId="15" borderId="1" xfId="0" applyNumberFormat="1" applyFill="1" applyBorder="1" applyAlignment="1">
      <alignment horizontal="center" vertical="center"/>
    </xf>
    <xf numFmtId="0" fontId="2" fillId="5" borderId="1" xfId="0" applyFont="1" applyFill="1" applyBorder="1" applyAlignment="1">
      <alignment horizontal="justify" vertical="center"/>
    </xf>
    <xf numFmtId="0" fontId="0" fillId="3" borderId="27" xfId="0" applyFill="1" applyBorder="1" applyAlignment="1">
      <alignment horizontal="center"/>
    </xf>
    <xf numFmtId="0" fontId="0" fillId="3" borderId="29" xfId="0" applyFill="1" applyBorder="1" applyAlignment="1">
      <alignment horizontal="center"/>
    </xf>
    <xf numFmtId="0" fontId="8" fillId="13" borderId="31" xfId="0" applyFont="1" applyFill="1" applyBorder="1" applyAlignment="1">
      <alignment horizontal="center"/>
    </xf>
    <xf numFmtId="0" fontId="0" fillId="0" borderId="1" xfId="0" applyBorder="1" applyAlignment="1">
      <alignment horizontal="center" vertical="center"/>
    </xf>
    <xf numFmtId="0" fontId="0" fillId="15" borderId="1" xfId="0" applyFill="1" applyBorder="1" applyAlignment="1">
      <alignment horizontal="center" vertical="center"/>
    </xf>
    <xf numFmtId="0" fontId="2" fillId="19" borderId="1" xfId="0" applyFont="1" applyFill="1" applyBorder="1" applyAlignment="1">
      <alignment horizontal="justify" vertical="center"/>
    </xf>
    <xf numFmtId="0" fontId="0" fillId="0" borderId="0" xfId="0" applyAlignment="1">
      <alignment horizontal="center"/>
    </xf>
    <xf numFmtId="0" fontId="2" fillId="20" borderId="1" xfId="0" applyFont="1" applyFill="1" applyBorder="1"/>
    <xf numFmtId="0" fontId="0" fillId="20" borderId="13" xfId="0" applyFill="1" applyBorder="1"/>
    <xf numFmtId="2" fontId="2" fillId="19" borderId="1" xfId="0" applyNumberFormat="1" applyFont="1" applyFill="1" applyBorder="1" applyAlignment="1">
      <alignment horizontal="center" vertical="center"/>
    </xf>
    <xf numFmtId="168" fontId="0" fillId="0" borderId="1" xfId="0" applyNumberFormat="1" applyBorder="1" applyAlignment="1">
      <alignment horizontal="center" vertical="center"/>
    </xf>
    <xf numFmtId="168" fontId="0" fillId="15" borderId="1" xfId="0" applyNumberFormat="1" applyFill="1" applyBorder="1" applyAlignment="1">
      <alignment horizontal="center" vertical="center"/>
    </xf>
    <xf numFmtId="0" fontId="0" fillId="13" borderId="1" xfId="0" applyFill="1" applyBorder="1"/>
    <xf numFmtId="0" fontId="2" fillId="13" borderId="1" xfId="0" applyFont="1" applyFill="1" applyBorder="1"/>
    <xf numFmtId="164" fontId="0" fillId="13" borderId="1" xfId="0" applyNumberFormat="1" applyFill="1" applyBorder="1"/>
    <xf numFmtId="0" fontId="0" fillId="3" borderId="1" xfId="0" applyFill="1" applyBorder="1" applyAlignment="1">
      <alignment horizontal="center" vertical="center"/>
    </xf>
    <xf numFmtId="0" fontId="2" fillId="3" borderId="1" xfId="0" applyFont="1" applyFill="1" applyBorder="1" applyAlignment="1">
      <alignment horizontal="justify"/>
    </xf>
    <xf numFmtId="0" fontId="2" fillId="5" borderId="11" xfId="0" applyFont="1" applyFill="1" applyBorder="1" applyAlignment="1">
      <alignment horizontal="justify"/>
    </xf>
    <xf numFmtId="0" fontId="2" fillId="0" borderId="28" xfId="0" applyFont="1" applyBorder="1" applyAlignment="1">
      <alignment horizontal="justify"/>
    </xf>
    <xf numFmtId="0" fontId="2" fillId="0" borderId="35" xfId="0" applyFont="1" applyBorder="1" applyAlignment="1">
      <alignment horizontal="justify"/>
    </xf>
    <xf numFmtId="0" fontId="2" fillId="0" borderId="43" xfId="0" applyFont="1" applyBorder="1" applyAlignment="1">
      <alignment horizontal="justify"/>
    </xf>
    <xf numFmtId="0" fontId="2" fillId="0" borderId="46" xfId="0" applyFont="1" applyBorder="1" applyAlignment="1">
      <alignment horizontal="justify"/>
    </xf>
    <xf numFmtId="0" fontId="2" fillId="15" borderId="30" xfId="0" applyFont="1" applyFill="1" applyBorder="1" applyAlignment="1">
      <alignment horizontal="justify"/>
    </xf>
    <xf numFmtId="0" fontId="0" fillId="0" borderId="30" xfId="0" applyBorder="1" applyAlignment="1">
      <alignment horizontal="center" vertical="center"/>
    </xf>
    <xf numFmtId="0" fontId="9" fillId="0" borderId="45" xfId="0" applyFont="1" applyBorder="1" applyAlignment="1">
      <alignment horizontal="center" vertical="center"/>
    </xf>
    <xf numFmtId="0" fontId="10" fillId="0" borderId="45" xfId="0" applyFont="1" applyBorder="1" applyAlignment="1">
      <alignment horizontal="center" vertical="center"/>
    </xf>
    <xf numFmtId="0" fontId="10" fillId="0" borderId="44" xfId="0" applyFont="1" applyBorder="1" applyAlignment="1">
      <alignment horizontal="center" vertical="center"/>
    </xf>
    <xf numFmtId="0" fontId="10" fillId="0" borderId="29" xfId="0" applyFont="1" applyBorder="1" applyAlignment="1">
      <alignment horizontal="center" vertical="center"/>
    </xf>
    <xf numFmtId="0" fontId="10" fillId="0" borderId="47" xfId="0" applyFont="1" applyBorder="1" applyAlignment="1">
      <alignment horizontal="center" vertical="center"/>
    </xf>
    <xf numFmtId="0" fontId="10" fillId="0" borderId="42" xfId="0" applyFont="1" applyBorder="1" applyAlignment="1">
      <alignment horizontal="center" vertical="center"/>
    </xf>
    <xf numFmtId="0" fontId="2" fillId="0" borderId="32" xfId="0" applyFont="1" applyBorder="1" applyAlignment="1">
      <alignment horizontal="center" vertical="center"/>
    </xf>
    <xf numFmtId="167" fontId="0" fillId="5" borderId="11" xfId="0" applyNumberFormat="1" applyFill="1" applyBorder="1" applyAlignment="1">
      <alignment horizontal="center" vertical="center"/>
    </xf>
    <xf numFmtId="167" fontId="0" fillId="20" borderId="1" xfId="0" applyNumberFormat="1" applyFill="1" applyBorder="1"/>
    <xf numFmtId="0" fontId="10" fillId="0" borderId="21" xfId="0" applyFont="1" applyBorder="1" applyAlignment="1">
      <alignment horizontal="center" vertical="center"/>
    </xf>
    <xf numFmtId="0" fontId="2" fillId="0" borderId="50" xfId="0" applyFont="1" applyBorder="1" applyAlignment="1">
      <alignment horizontal="justify"/>
    </xf>
    <xf numFmtId="0" fontId="2" fillId="5" borderId="56" xfId="0" applyFont="1" applyFill="1" applyBorder="1" applyAlignment="1">
      <alignment horizontal="center"/>
    </xf>
    <xf numFmtId="0" fontId="2" fillId="5" borderId="57" xfId="0" applyFont="1" applyFill="1" applyBorder="1" applyAlignment="1">
      <alignment horizontal="center"/>
    </xf>
    <xf numFmtId="0" fontId="2" fillId="5" borderId="58" xfId="0" applyFont="1" applyFill="1" applyBorder="1" applyAlignment="1">
      <alignment horizontal="center"/>
    </xf>
    <xf numFmtId="164" fontId="0" fillId="0" borderId="55" xfId="0" applyNumberFormat="1" applyBorder="1" applyAlignment="1">
      <alignment horizontal="center" vertical="center"/>
    </xf>
    <xf numFmtId="164" fontId="0" fillId="0" borderId="13" xfId="0" applyNumberFormat="1" applyBorder="1" applyAlignment="1">
      <alignment horizontal="center" vertical="center"/>
    </xf>
    <xf numFmtId="164" fontId="0" fillId="0" borderId="18"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38" xfId="0" applyNumberFormat="1" applyBorder="1" applyAlignment="1">
      <alignment horizontal="center" vertical="center"/>
    </xf>
    <xf numFmtId="164" fontId="0" fillId="0" borderId="5" xfId="0" applyNumberFormat="1" applyBorder="1" applyAlignment="1">
      <alignment horizontal="center" vertical="center"/>
    </xf>
    <xf numFmtId="164" fontId="0" fillId="0" borderId="48" xfId="0" applyNumberFormat="1" applyBorder="1" applyAlignment="1">
      <alignment horizontal="center" vertical="center"/>
    </xf>
    <xf numFmtId="164" fontId="0" fillId="15" borderId="31" xfId="0" applyNumberFormat="1" applyFill="1" applyBorder="1" applyAlignment="1">
      <alignment horizontal="center" vertical="center"/>
    </xf>
    <xf numFmtId="164" fontId="0" fillId="15" borderId="49" xfId="0" applyNumberFormat="1" applyFill="1" applyBorder="1" applyAlignment="1">
      <alignment horizontal="center" vertical="center"/>
    </xf>
    <xf numFmtId="0" fontId="0" fillId="0" borderId="50" xfId="0" applyBorder="1" applyAlignment="1">
      <alignment horizontal="justify" vertical="center"/>
    </xf>
    <xf numFmtId="0" fontId="0" fillId="0" borderId="28" xfId="0" applyBorder="1" applyAlignment="1">
      <alignment horizontal="justify" vertical="center"/>
    </xf>
    <xf numFmtId="0" fontId="0" fillId="0" borderId="51" xfId="0" applyBorder="1" applyAlignment="1">
      <alignment horizontal="justify" vertical="center"/>
    </xf>
    <xf numFmtId="0" fontId="0" fillId="0" borderId="43" xfId="0" applyBorder="1" applyAlignment="1">
      <alignment horizontal="justify" vertical="center"/>
    </xf>
    <xf numFmtId="0" fontId="0" fillId="0" borderId="46" xfId="0" applyBorder="1" applyAlignment="1">
      <alignment horizontal="justify" vertical="center"/>
    </xf>
    <xf numFmtId="0" fontId="2" fillId="3" borderId="1" xfId="0" applyFont="1" applyFill="1" applyBorder="1"/>
    <xf numFmtId="0" fontId="0" fillId="3" borderId="1" xfId="0" applyFill="1" applyBorder="1"/>
    <xf numFmtId="0" fontId="2" fillId="5" borderId="1" xfId="0" applyFont="1" applyFill="1" applyBorder="1"/>
    <xf numFmtId="0" fontId="2" fillId="5" borderId="1" xfId="0" applyFont="1" applyFill="1" applyBorder="1" applyAlignment="1">
      <alignment horizontal="center"/>
    </xf>
    <xf numFmtId="0" fontId="0" fillId="5" borderId="1" xfId="0" applyFill="1" applyBorder="1"/>
    <xf numFmtId="167" fontId="0" fillId="5" borderId="1" xfId="0" applyNumberFormat="1" applyFill="1" applyBorder="1" applyAlignment="1">
      <alignment horizontal="center" vertical="center"/>
    </xf>
    <xf numFmtId="0" fontId="0" fillId="20" borderId="1" xfId="0" applyFill="1" applyBorder="1"/>
    <xf numFmtId="166" fontId="0" fillId="3" borderId="1" xfId="0" applyNumberFormat="1" applyFill="1" applyBorder="1" applyAlignment="1">
      <alignment horizontal="center" vertical="center"/>
    </xf>
    <xf numFmtId="0" fontId="0" fillId="5" borderId="1" xfId="0" applyFill="1" applyBorder="1" applyAlignment="1">
      <alignment horizontal="center" vertical="center"/>
    </xf>
    <xf numFmtId="165" fontId="0" fillId="3" borderId="25" xfId="0" applyNumberFormat="1" applyFill="1" applyBorder="1" applyAlignment="1">
      <alignment horizontal="center" vertical="center"/>
    </xf>
    <xf numFmtId="165" fontId="0" fillId="3" borderId="26" xfId="0" applyNumberFormat="1" applyFill="1" applyBorder="1" applyAlignment="1">
      <alignment horizontal="center" vertical="center"/>
    </xf>
    <xf numFmtId="165" fontId="0" fillId="3" borderId="28" xfId="0" applyNumberFormat="1" applyFill="1" applyBorder="1" applyAlignment="1">
      <alignment horizontal="center" vertical="center"/>
    </xf>
    <xf numFmtId="165" fontId="0" fillId="3" borderId="1" xfId="0" applyNumberFormat="1"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167" fontId="8" fillId="13" borderId="30" xfId="0" applyNumberFormat="1" applyFont="1" applyFill="1" applyBorder="1" applyAlignment="1">
      <alignment horizontal="center" vertical="center"/>
    </xf>
    <xf numFmtId="167" fontId="8" fillId="13" borderId="31" xfId="0" applyNumberFormat="1" applyFont="1" applyFill="1" applyBorder="1" applyAlignment="1">
      <alignment horizontal="center" vertical="center"/>
    </xf>
    <xf numFmtId="0" fontId="0" fillId="3" borderId="37" xfId="0" applyFill="1" applyBorder="1" applyAlignment="1">
      <alignment horizontal="justify"/>
    </xf>
    <xf numFmtId="0" fontId="0" fillId="3" borderId="18" xfId="0" applyFill="1" applyBorder="1" applyAlignment="1">
      <alignment horizontal="justify"/>
    </xf>
    <xf numFmtId="0" fontId="0" fillId="3" borderId="1" xfId="0" applyFill="1" applyBorder="1" applyAlignment="1">
      <alignment horizontal="justify"/>
    </xf>
    <xf numFmtId="0" fontId="8" fillId="13" borderId="32" xfId="0" applyFont="1" applyFill="1" applyBorder="1" applyAlignment="1">
      <alignment horizontal="justify"/>
    </xf>
    <xf numFmtId="0" fontId="8" fillId="17" borderId="34" xfId="0" applyFont="1" applyFill="1" applyBorder="1" applyAlignment="1">
      <alignment horizontal="justify"/>
    </xf>
    <xf numFmtId="0" fontId="2" fillId="6" borderId="34" xfId="0" applyFont="1" applyFill="1" applyBorder="1" applyAlignment="1">
      <alignment horizontal="justify"/>
    </xf>
    <xf numFmtId="0" fontId="8" fillId="13" borderId="36" xfId="0" applyFont="1" applyFill="1" applyBorder="1" applyAlignment="1">
      <alignment horizontal="justify"/>
    </xf>
    <xf numFmtId="166" fontId="3" fillId="9" borderId="17" xfId="0" applyNumberFormat="1" applyFont="1" applyFill="1" applyBorder="1" applyAlignment="1">
      <alignment horizontal="center" vertical="center"/>
    </xf>
    <xf numFmtId="166" fontId="3" fillId="9" borderId="15" xfId="0" applyNumberFormat="1" applyFont="1" applyFill="1" applyBorder="1" applyAlignment="1">
      <alignment horizontal="center" vertical="center"/>
    </xf>
    <xf numFmtId="0" fontId="3" fillId="9" borderId="16" xfId="0" applyFont="1" applyFill="1" applyBorder="1" applyAlignment="1">
      <alignment horizontal="justify"/>
    </xf>
    <xf numFmtId="0" fontId="2" fillId="7" borderId="59" xfId="0" applyFont="1" applyFill="1" applyBorder="1" applyAlignment="1">
      <alignment horizontal="justify"/>
    </xf>
    <xf numFmtId="165" fontId="0" fillId="3" borderId="60" xfId="0" applyNumberFormat="1" applyFill="1" applyBorder="1" applyAlignment="1">
      <alignment horizontal="center" vertical="center"/>
    </xf>
    <xf numFmtId="165" fontId="0" fillId="3" borderId="57" xfId="0" applyNumberFormat="1" applyFill="1" applyBorder="1" applyAlignment="1">
      <alignment horizontal="center" vertical="center"/>
    </xf>
    <xf numFmtId="0" fontId="0" fillId="3" borderId="58" xfId="0" applyFill="1" applyBorder="1" applyAlignment="1">
      <alignment horizontal="justify"/>
    </xf>
    <xf numFmtId="0" fontId="0" fillId="3" borderId="61" xfId="0" applyFill="1" applyBorder="1" applyAlignment="1">
      <alignment horizontal="center"/>
    </xf>
    <xf numFmtId="0" fontId="8" fillId="17" borderId="33" xfId="0" applyFont="1" applyFill="1" applyBorder="1" applyAlignment="1">
      <alignment horizontal="justify"/>
    </xf>
    <xf numFmtId="0" fontId="8" fillId="17" borderId="36" xfId="0" applyFont="1" applyFill="1" applyBorder="1" applyAlignment="1">
      <alignment horizontal="justify"/>
    </xf>
    <xf numFmtId="165" fontId="0" fillId="3" borderId="30" xfId="0" applyNumberFormat="1" applyFill="1" applyBorder="1" applyAlignment="1">
      <alignment horizontal="center" vertical="center"/>
    </xf>
    <xf numFmtId="165" fontId="0" fillId="3" borderId="31" xfId="0" applyNumberFormat="1" applyFill="1" applyBorder="1" applyAlignment="1">
      <alignment horizontal="center" vertical="center"/>
    </xf>
    <xf numFmtId="0" fontId="0" fillId="3" borderId="49" xfId="0" applyFill="1" applyBorder="1" applyAlignment="1">
      <alignment horizontal="justify"/>
    </xf>
    <xf numFmtId="0" fontId="0" fillId="3" borderId="32" xfId="0" applyFill="1" applyBorder="1" applyAlignment="1">
      <alignment horizontal="center"/>
    </xf>
    <xf numFmtId="0" fontId="8" fillId="16" borderId="62" xfId="0" applyFont="1" applyFill="1" applyBorder="1" applyAlignment="1">
      <alignment horizontal="justify"/>
    </xf>
    <xf numFmtId="165" fontId="0" fillId="4" borderId="63" xfId="0" applyNumberFormat="1" applyFill="1" applyBorder="1" applyAlignment="1">
      <alignment horizontal="center" vertical="center"/>
    </xf>
    <xf numFmtId="165" fontId="0" fillId="4" borderId="64" xfId="0" applyNumberFormat="1" applyFill="1" applyBorder="1" applyAlignment="1">
      <alignment horizontal="center" vertical="center"/>
    </xf>
    <xf numFmtId="165" fontId="0" fillId="4" borderId="65" xfId="0" applyNumberFormat="1" applyFill="1" applyBorder="1" applyAlignment="1">
      <alignment horizontal="center" vertical="center"/>
    </xf>
    <xf numFmtId="0" fontId="0" fillId="4" borderId="66" xfId="0" applyFill="1" applyBorder="1" applyAlignment="1">
      <alignment horizontal="justify"/>
    </xf>
    <xf numFmtId="0" fontId="0" fillId="4" borderId="27" xfId="0" applyFill="1" applyBorder="1" applyAlignment="1">
      <alignment horizontal="center"/>
    </xf>
    <xf numFmtId="0" fontId="8" fillId="16" borderId="67" xfId="0" applyFont="1" applyFill="1" applyBorder="1" applyAlignment="1">
      <alignment horizontal="justify"/>
    </xf>
    <xf numFmtId="165" fontId="0" fillId="4" borderId="68" xfId="0" applyNumberFormat="1" applyFill="1" applyBorder="1" applyAlignment="1">
      <alignment horizontal="center" vertical="center"/>
    </xf>
    <xf numFmtId="165" fontId="0" fillId="4" borderId="69" xfId="0" applyNumberFormat="1" applyFill="1" applyBorder="1" applyAlignment="1">
      <alignment horizontal="center" vertical="center"/>
    </xf>
    <xf numFmtId="165" fontId="0" fillId="4" borderId="70" xfId="0" applyNumberFormat="1" applyFill="1" applyBorder="1" applyAlignment="1">
      <alignment horizontal="center" vertical="center"/>
    </xf>
    <xf numFmtId="0" fontId="0" fillId="4" borderId="69" xfId="0" applyFill="1" applyBorder="1" applyAlignment="1">
      <alignment horizontal="justify"/>
    </xf>
    <xf numFmtId="0" fontId="0" fillId="4" borderId="71" xfId="0" applyFill="1" applyBorder="1" applyAlignment="1">
      <alignment horizontal="center"/>
    </xf>
    <xf numFmtId="0" fontId="2" fillId="8" borderId="33" xfId="0" applyFont="1" applyFill="1" applyBorder="1" applyAlignment="1">
      <alignment horizontal="justify"/>
    </xf>
    <xf numFmtId="0" fontId="2" fillId="6" borderId="36" xfId="0" applyFont="1" applyFill="1" applyBorder="1" applyAlignment="1">
      <alignment horizontal="justify"/>
    </xf>
    <xf numFmtId="0" fontId="2" fillId="10" borderId="72" xfId="0" applyFont="1" applyFill="1" applyBorder="1" applyAlignment="1">
      <alignment horizontal="justify"/>
    </xf>
    <xf numFmtId="165" fontId="2" fillId="10" borderId="73" xfId="0" applyNumberFormat="1" applyFont="1" applyFill="1" applyBorder="1" applyAlignment="1">
      <alignment horizontal="center" vertical="center"/>
    </xf>
    <xf numFmtId="165" fontId="2" fillId="10" borderId="55" xfId="0" applyNumberFormat="1" applyFont="1" applyFill="1" applyBorder="1" applyAlignment="1">
      <alignment horizontal="center" vertical="center"/>
    </xf>
    <xf numFmtId="0" fontId="2" fillId="10" borderId="55" xfId="0" applyFont="1" applyFill="1" applyBorder="1" applyAlignment="1">
      <alignment horizontal="justify"/>
    </xf>
    <xf numFmtId="0" fontId="2" fillId="10" borderId="74" xfId="0" applyFont="1" applyFill="1" applyBorder="1" applyAlignment="1">
      <alignment horizontal="center"/>
    </xf>
    <xf numFmtId="0" fontId="2" fillId="13" borderId="59" xfId="0" applyFont="1" applyFill="1" applyBorder="1" applyAlignment="1">
      <alignment horizontal="justify"/>
    </xf>
    <xf numFmtId="0" fontId="2" fillId="14" borderId="59" xfId="0" applyFont="1" applyFill="1" applyBorder="1" applyAlignment="1">
      <alignment horizontal="justify"/>
    </xf>
    <xf numFmtId="0" fontId="0" fillId="3" borderId="57" xfId="0" applyFill="1" applyBorder="1" applyAlignment="1">
      <alignment horizontal="justify"/>
    </xf>
    <xf numFmtId="0" fontId="8" fillId="18" borderId="72" xfId="0" applyFont="1" applyFill="1" applyBorder="1" applyAlignment="1">
      <alignment horizontal="justify"/>
    </xf>
    <xf numFmtId="165" fontId="0" fillId="3" borderId="73" xfId="0" applyNumberFormat="1" applyFill="1" applyBorder="1" applyAlignment="1">
      <alignment horizontal="center" vertical="center"/>
    </xf>
    <xf numFmtId="165" fontId="0" fillId="3" borderId="55" xfId="0" applyNumberFormat="1" applyFill="1" applyBorder="1" applyAlignment="1">
      <alignment horizontal="center" vertical="center"/>
    </xf>
    <xf numFmtId="0" fontId="0" fillId="3" borderId="55" xfId="0" applyFill="1" applyBorder="1" applyAlignment="1">
      <alignment horizontal="justify"/>
    </xf>
    <xf numFmtId="0" fontId="0" fillId="3" borderId="74" xfId="0" applyFill="1" applyBorder="1" applyAlignment="1">
      <alignment horizontal="center"/>
    </xf>
    <xf numFmtId="0" fontId="2" fillId="12" borderId="33" xfId="0" applyFont="1" applyFill="1" applyBorder="1" applyAlignment="1">
      <alignment horizontal="justify"/>
    </xf>
    <xf numFmtId="165" fontId="2" fillId="12" borderId="25" xfId="0" applyNumberFormat="1" applyFont="1" applyFill="1" applyBorder="1" applyAlignment="1">
      <alignment horizontal="center" vertical="center"/>
    </xf>
    <xf numFmtId="165" fontId="2" fillId="12" borderId="26" xfId="0" applyNumberFormat="1" applyFont="1" applyFill="1" applyBorder="1" applyAlignment="1">
      <alignment horizontal="center" vertical="center"/>
    </xf>
    <xf numFmtId="0" fontId="2" fillId="12" borderId="26" xfId="0" applyFont="1" applyFill="1" applyBorder="1" applyAlignment="1">
      <alignment horizontal="center"/>
    </xf>
    <xf numFmtId="0" fontId="2" fillId="12" borderId="27" xfId="0" applyFont="1" applyFill="1" applyBorder="1" applyAlignment="1">
      <alignment horizontal="justify"/>
    </xf>
    <xf numFmtId="0" fontId="1" fillId="0" borderId="22" xfId="0" applyFont="1" applyBorder="1" applyAlignment="1">
      <alignment horizontal="justify"/>
    </xf>
    <xf numFmtId="0" fontId="1" fillId="0" borderId="23" xfId="0" applyFont="1" applyBorder="1" applyAlignment="1">
      <alignment horizontal="center" vertical="center"/>
    </xf>
    <xf numFmtId="166" fontId="0" fillId="0" borderId="1" xfId="0" applyNumberFormat="1" applyBorder="1" applyAlignment="1">
      <alignment horizontal="center" vertical="center"/>
    </xf>
    <xf numFmtId="166" fontId="0" fillId="2" borderId="1" xfId="0" applyNumberFormat="1" applyFill="1" applyBorder="1" applyAlignment="1">
      <alignment horizontal="center" vertical="center"/>
    </xf>
    <xf numFmtId="166" fontId="5"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xf>
    <xf numFmtId="0" fontId="1" fillId="0" borderId="1" xfId="0" applyFont="1" applyBorder="1" applyAlignment="1">
      <alignment horizontal="justify"/>
    </xf>
    <xf numFmtId="0" fontId="8" fillId="16" borderId="1" xfId="0" applyFont="1" applyFill="1" applyBorder="1" applyAlignment="1">
      <alignment horizontal="justify"/>
    </xf>
    <xf numFmtId="0" fontId="2" fillId="2" borderId="1" xfId="0" applyFont="1" applyFill="1" applyBorder="1" applyAlignment="1">
      <alignment horizontal="justify"/>
    </xf>
    <xf numFmtId="0" fontId="2" fillId="8" borderId="1" xfId="0" applyFont="1" applyFill="1" applyBorder="1" applyAlignment="1">
      <alignment horizontal="justify"/>
    </xf>
    <xf numFmtId="0" fontId="8" fillId="17" borderId="1" xfId="0" applyFont="1" applyFill="1" applyBorder="1" applyAlignment="1">
      <alignment horizontal="justify"/>
    </xf>
    <xf numFmtId="0" fontId="2" fillId="13" borderId="1" xfId="0" applyFont="1" applyFill="1" applyBorder="1" applyAlignment="1">
      <alignment horizontal="justify"/>
    </xf>
    <xf numFmtId="0" fontId="0" fillId="3" borderId="26" xfId="0" applyFill="1" applyBorder="1" applyAlignment="1">
      <alignment horizontal="justify"/>
    </xf>
    <xf numFmtId="0" fontId="0" fillId="3" borderId="31" xfId="0" applyFill="1" applyBorder="1" applyAlignment="1">
      <alignment horizontal="justify"/>
    </xf>
    <xf numFmtId="0" fontId="0" fillId="3" borderId="75" xfId="0" applyFill="1" applyBorder="1" applyAlignment="1">
      <alignment horizontal="justify"/>
    </xf>
    <xf numFmtId="0" fontId="0" fillId="3" borderId="76" xfId="0" applyFill="1" applyBorder="1" applyAlignment="1">
      <alignment horizontal="center"/>
    </xf>
    <xf numFmtId="0" fontId="1" fillId="0" borderId="24" xfId="0" applyFont="1" applyBorder="1" applyAlignment="1">
      <alignment horizontal="center" vertical="center"/>
    </xf>
    <xf numFmtId="0" fontId="7" fillId="0" borderId="17" xfId="0" applyFont="1" applyBorder="1" applyAlignment="1">
      <alignment horizontal="center"/>
    </xf>
    <xf numFmtId="0" fontId="1" fillId="0" borderId="0" xfId="0" applyFont="1" applyAlignment="1">
      <alignment horizontal="center"/>
    </xf>
    <xf numFmtId="0" fontId="1" fillId="5" borderId="40" xfId="0" applyFont="1" applyFill="1" applyBorder="1" applyAlignment="1">
      <alignment horizontal="center"/>
    </xf>
    <xf numFmtId="0" fontId="1" fillId="5" borderId="41" xfId="0" applyFont="1" applyFill="1" applyBorder="1" applyAlignment="1">
      <alignment horizontal="center"/>
    </xf>
    <xf numFmtId="0" fontId="2" fillId="0" borderId="39" xfId="0" applyFont="1" applyBorder="1" applyAlignment="1">
      <alignment horizontal="justify"/>
    </xf>
    <xf numFmtId="0" fontId="2" fillId="0" borderId="52" xfId="0" applyFont="1" applyBorder="1" applyAlignment="1">
      <alignment horizontal="justify"/>
    </xf>
    <xf numFmtId="0" fontId="2" fillId="2" borderId="53" xfId="0" applyFont="1" applyFill="1" applyBorder="1" applyAlignment="1">
      <alignment horizontal="center"/>
    </xf>
    <xf numFmtId="0" fontId="2" fillId="2" borderId="54" xfId="0" applyFont="1" applyFill="1" applyBorder="1" applyAlignment="1">
      <alignment horizontal="center"/>
    </xf>
    <xf numFmtId="0" fontId="2" fillId="0" borderId="27" xfId="0" applyFont="1" applyBorder="1" applyAlignment="1">
      <alignment horizontal="center"/>
    </xf>
    <xf numFmtId="0" fontId="2" fillId="0" borderId="32" xfId="0" applyFont="1" applyBorder="1" applyAlignment="1">
      <alignment horizontal="center"/>
    </xf>
    <xf numFmtId="0" fontId="6" fillId="0" borderId="0" xfId="0" applyFont="1" applyAlignment="1">
      <alignment horizontal="center"/>
    </xf>
    <xf numFmtId="0" fontId="6" fillId="0" borderId="14" xfId="0" applyFont="1" applyBorder="1" applyAlignment="1">
      <alignment horizontal="center"/>
    </xf>
    <xf numFmtId="0" fontId="6" fillId="0" borderId="19" xfId="0" applyFont="1" applyBorder="1" applyAlignment="1">
      <alignment horizontal="center"/>
    </xf>
    <xf numFmtId="0" fontId="6" fillId="0" borderId="20"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CC0000"/>
      <color rgb="FFF183F9"/>
      <color rgb="FFFF66CC"/>
      <color rgb="FF66FF33"/>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Mordaza sin cuñas</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s-AR" sz="18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9.1204504504504499E-2"/>
          <c:y val="0.15532407407407409"/>
          <c:w val="0.88396062992125979"/>
          <c:h val="0.73558680555555556"/>
        </c:manualLayout>
      </c:layout>
      <c:lineChart>
        <c:grouping val="standard"/>
        <c:varyColors val="0"/>
        <c:ser>
          <c:idx val="0"/>
          <c:order val="0"/>
          <c:tx>
            <c:strRef>
              <c:f>'mordaza sin cuñas'!$A$8</c:f>
              <c:strCache>
                <c:ptCount val="1"/>
                <c:pt idx="0">
                  <c:v>Desplazamiento Neto [mm]</c:v>
                </c:pt>
              </c:strCache>
            </c:strRef>
          </c:tx>
          <c:spPr>
            <a:ln w="22225" cap="rnd">
              <a:solidFill>
                <a:schemeClr val="accent1"/>
              </a:solidFill>
              <a:round/>
            </a:ln>
            <a:effectLst/>
          </c:spPr>
          <c:marker>
            <c:symbol val="none"/>
          </c:marker>
          <c:cat>
            <c:numRef>
              <c:f>'mordaza sin cuñas'!$B$2:$M$2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'mordaza sin cuñas'!$B$8:$M$8</c:f>
              <c:numCache>
                <c:formatCode>0.00000</c:formatCode>
                <c:ptCount val="12"/>
                <c:pt idx="0">
                  <c:v>0</c:v>
                </c:pt>
                <c:pt idx="1">
                  <c:v>2.7878E-3</c:v>
                </c:pt>
                <c:pt idx="2">
                  <c:v>6.0567999999999993E-3</c:v>
                </c:pt>
                <c:pt idx="3">
                  <c:v>1.29228E-2</c:v>
                </c:pt>
                <c:pt idx="4">
                  <c:v>2.2742800000000001E-2</c:v>
                </c:pt>
                <c:pt idx="5">
                  <c:v>3.0912800000000001E-2</c:v>
                </c:pt>
                <c:pt idx="6">
                  <c:v>3.4322800000000001E-2</c:v>
                </c:pt>
                <c:pt idx="7">
                  <c:v>4.1312799999999997E-2</c:v>
                </c:pt>
                <c:pt idx="8">
                  <c:v>4.83028E-2</c:v>
                </c:pt>
                <c:pt idx="9">
                  <c:v>5.6942799999999995E-2</c:v>
                </c:pt>
                <c:pt idx="10">
                  <c:v>6.4232800000000007E-2</c:v>
                </c:pt>
                <c:pt idx="11">
                  <c:v>7.15528E-2</c:v>
                </c:pt>
              </c:numCache>
            </c:numRef>
          </c:val>
          <c:smooth val="0"/>
          <c:extLst>
            <c:ext xmlns:c16="http://schemas.microsoft.com/office/drawing/2014/chart" uri="{C3380CC4-5D6E-409C-BE32-E72D297353CC}">
              <c16:uniqueId val="{00000000-6666-41F1-8A3D-60446D8DD89C}"/>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2576396396396399"/>
              <c:y val="0.944410416666666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7.5000000000000011E-2"/>
          <c:min val="0"/>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9.6666666666666672E-3"/>
              <c:y val="0.3104731481481480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1.0000000000000002E-2"/>
        <c:minorUnit val="5.000000000000001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Mordaza con cuñas</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s-AR" sz="18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9.5018318318318321E-2"/>
          <c:y val="0.16708333333333336"/>
          <c:w val="0.87442612612612614"/>
          <c:h val="0.73264699074074058"/>
        </c:manualLayout>
      </c:layout>
      <c:lineChart>
        <c:grouping val="standard"/>
        <c:varyColors val="0"/>
        <c:ser>
          <c:idx val="0"/>
          <c:order val="0"/>
          <c:tx>
            <c:strRef>
              <c:f>'mordaza con cuñas'!$B$8</c:f>
              <c:strCache>
                <c:ptCount val="1"/>
                <c:pt idx="0">
                  <c:v>Desplazamiento Neto [mm]</c:v>
                </c:pt>
              </c:strCache>
            </c:strRef>
          </c:tx>
          <c:spPr>
            <a:ln w="22225" cap="rnd">
              <a:solidFill>
                <a:schemeClr val="accent1"/>
              </a:solidFill>
              <a:round/>
            </a:ln>
            <a:effectLst/>
          </c:spPr>
          <c:marker>
            <c:symbol val="none"/>
          </c:marker>
          <c:cat>
            <c:numRef>
              <c:f>'mordaza con cuñas'!$C$2:$N$2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'mordaza con cuñas'!$C$8:$N$8</c:f>
              <c:numCache>
                <c:formatCode>0.0000</c:formatCode>
                <c:ptCount val="12"/>
                <c:pt idx="0">
                  <c:v>0</c:v>
                </c:pt>
                <c:pt idx="1">
                  <c:v>2.6725000000000002E-2</c:v>
                </c:pt>
                <c:pt idx="2">
                  <c:v>5.9435000000000002E-2</c:v>
                </c:pt>
                <c:pt idx="3">
                  <c:v>0.12751500000000002</c:v>
                </c:pt>
                <c:pt idx="4">
                  <c:v>0.217115</c:v>
                </c:pt>
                <c:pt idx="5">
                  <c:v>0.293715</c:v>
                </c:pt>
                <c:pt idx="6">
                  <c:v>0.31921500000000003</c:v>
                </c:pt>
                <c:pt idx="7">
                  <c:v>0.38441500000000001</c:v>
                </c:pt>
                <c:pt idx="8">
                  <c:v>0.44971499999999998</c:v>
                </c:pt>
                <c:pt idx="9">
                  <c:v>0.56771499999999997</c:v>
                </c:pt>
                <c:pt idx="10">
                  <c:v>0.64141499999999996</c:v>
                </c:pt>
                <c:pt idx="11">
                  <c:v>0.71571499999999999</c:v>
                </c:pt>
              </c:numCache>
            </c:numRef>
          </c:val>
          <c:smooth val="0"/>
          <c:extLst>
            <c:ext xmlns:c16="http://schemas.microsoft.com/office/drawing/2014/chart" uri="{C3380CC4-5D6E-409C-BE32-E72D297353CC}">
              <c16:uniqueId val="{00000000-F196-40DB-9213-8C0CDF5EA56A}"/>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2195015015015014"/>
              <c:y val="0.944014814814814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0.75000000000000011"/>
          <c:min val="0"/>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1.0133783783783783E-2"/>
              <c:y val="0.3266421296296296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inorUnit val="6.000000000000001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Pasador mordaza</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s-AR" sz="18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9.5018318318318321E-2"/>
          <c:y val="0.16708333333333336"/>
          <c:w val="0.87442612612612614"/>
          <c:h val="0.73264699074074058"/>
        </c:manualLayout>
      </c:layout>
      <c:lineChart>
        <c:grouping val="standard"/>
        <c:varyColors val="0"/>
        <c:ser>
          <c:idx val="0"/>
          <c:order val="0"/>
          <c:tx>
            <c:strRef>
              <c:f>'pasador mordaza'!$A$3</c:f>
              <c:strCache>
                <c:ptCount val="1"/>
                <c:pt idx="0">
                  <c:v>Desplazamiento neto [mm]</c:v>
                </c:pt>
              </c:strCache>
            </c:strRef>
          </c:tx>
          <c:spPr>
            <a:ln w="22225" cap="rnd">
              <a:solidFill>
                <a:schemeClr val="accent1"/>
              </a:solidFill>
              <a:round/>
            </a:ln>
            <a:effectLst/>
          </c:spPr>
          <c:marker>
            <c:symbol val="none"/>
          </c:marker>
          <c:cat>
            <c:numRef>
              <c:f>'pasador mordaza'!$B$2:$M$2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'pasador mordaza'!$B$3:$M$3</c:f>
              <c:numCache>
                <c:formatCode>0.00000</c:formatCode>
                <c:ptCount val="12"/>
                <c:pt idx="0">
                  <c:v>0</c:v>
                </c:pt>
                <c:pt idx="1">
                  <c:v>0</c:v>
                </c:pt>
                <c:pt idx="2">
                  <c:v>0</c:v>
                </c:pt>
                <c:pt idx="3">
                  <c:v>0</c:v>
                </c:pt>
                <c:pt idx="4">
                  <c:v>2.9E-5</c:v>
                </c:pt>
                <c:pt idx="5">
                  <c:v>3.8000000000000002E-4</c:v>
                </c:pt>
                <c:pt idx="6">
                  <c:v>4.8000000000000001E-4</c:v>
                </c:pt>
                <c:pt idx="7">
                  <c:v>5.8E-4</c:v>
                </c:pt>
                <c:pt idx="8">
                  <c:v>6.7000000000000002E-4</c:v>
                </c:pt>
                <c:pt idx="9">
                  <c:v>7.6999999999999996E-4</c:v>
                </c:pt>
                <c:pt idx="10">
                  <c:v>8.5999999999999998E-4</c:v>
                </c:pt>
                <c:pt idx="11">
                  <c:v>9.6000000000000002E-4</c:v>
                </c:pt>
              </c:numCache>
            </c:numRef>
          </c:val>
          <c:smooth val="0"/>
          <c:extLst>
            <c:ext xmlns:c16="http://schemas.microsoft.com/office/drawing/2014/chart" uri="{C3380CC4-5D6E-409C-BE32-E72D297353CC}">
              <c16:uniqueId val="{00000000-F5C9-4053-8200-FEE75E45F703}"/>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2195015015015014"/>
              <c:y val="0.944014814814814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1.0000000000000002E-3"/>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8.3847499432770499E-4"/>
              <c:y val="0.3266421986532959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1.0000000000000003E-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Perno unión mordaza</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s-AR" sz="18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0.11408738738738738"/>
          <c:y val="0.15238425925925925"/>
          <c:w val="0.86107777777777783"/>
          <c:h val="0.73264699074074058"/>
        </c:manualLayout>
      </c:layout>
      <c:lineChart>
        <c:grouping val="standard"/>
        <c:varyColors val="0"/>
        <c:ser>
          <c:idx val="0"/>
          <c:order val="0"/>
          <c:tx>
            <c:strRef>
              <c:f>'Perno union mordaza'!$A$8</c:f>
              <c:strCache>
                <c:ptCount val="1"/>
                <c:pt idx="0">
                  <c:v>Desplazamiento Neto [mm]</c:v>
                </c:pt>
              </c:strCache>
            </c:strRef>
          </c:tx>
          <c:spPr>
            <a:ln w="22225" cap="rnd">
              <a:solidFill>
                <a:schemeClr val="accent1"/>
              </a:solidFill>
              <a:round/>
            </a:ln>
            <a:effectLst/>
          </c:spPr>
          <c:marker>
            <c:symbol val="none"/>
          </c:marker>
          <c:cat>
            <c:numRef>
              <c:f>'Perno union mordaza'!$B$2:$M$2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'Perno union mordaza'!$B$8:$M$8</c:f>
              <c:numCache>
                <c:formatCode>0.0000</c:formatCode>
                <c:ptCount val="12"/>
                <c:pt idx="0">
                  <c:v>0</c:v>
                </c:pt>
                <c:pt idx="1">
                  <c:v>4.999999999999999E-4</c:v>
                </c:pt>
                <c:pt idx="2">
                  <c:v>1E-3</c:v>
                </c:pt>
                <c:pt idx="3">
                  <c:v>2.1000000000000003E-3</c:v>
                </c:pt>
                <c:pt idx="4">
                  <c:v>3.2000000000000002E-3</c:v>
                </c:pt>
                <c:pt idx="5">
                  <c:v>4.3999999999999994E-3</c:v>
                </c:pt>
                <c:pt idx="6">
                  <c:v>5.4999999999999997E-3</c:v>
                </c:pt>
                <c:pt idx="7">
                  <c:v>6.6E-3</c:v>
                </c:pt>
                <c:pt idx="8">
                  <c:v>7.6999999999999994E-3</c:v>
                </c:pt>
                <c:pt idx="9">
                  <c:v>8.8000000000000005E-3</c:v>
                </c:pt>
                <c:pt idx="10">
                  <c:v>9.9000000000000008E-3</c:v>
                </c:pt>
                <c:pt idx="11">
                  <c:v>1.1000000000000001E-2</c:v>
                </c:pt>
              </c:numCache>
            </c:numRef>
          </c:val>
          <c:smooth val="0"/>
          <c:extLst>
            <c:ext xmlns:c16="http://schemas.microsoft.com/office/drawing/2014/chart" uri="{C3380CC4-5D6E-409C-BE32-E72D297353CC}">
              <c16:uniqueId val="{00000000-9681-4664-B564-24517681A35D}"/>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3339159159159157"/>
              <c:y val="0.950290046296296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1.2000000000000002E-2"/>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9.4378378378378383E-3"/>
              <c:y val="0.3031236111111111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1.0000000000000002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Perno rótula inferior</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s-AR" sz="18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9.5018318318318321E-2"/>
          <c:y val="0.15238425925925927"/>
          <c:w val="0.88396062992125979"/>
          <c:h val="0.73264699074074058"/>
        </c:manualLayout>
      </c:layout>
      <c:lineChart>
        <c:grouping val="standard"/>
        <c:varyColors val="0"/>
        <c:ser>
          <c:idx val="0"/>
          <c:order val="0"/>
          <c:tx>
            <c:strRef>
              <c:f>'Pasador rotula inf'!$A$8</c:f>
              <c:strCache>
                <c:ptCount val="1"/>
                <c:pt idx="0">
                  <c:v>Desplazamiento Neto [mm]</c:v>
                </c:pt>
              </c:strCache>
            </c:strRef>
          </c:tx>
          <c:spPr>
            <a:ln w="22225" cap="rnd">
              <a:solidFill>
                <a:schemeClr val="accent1"/>
              </a:solidFill>
              <a:round/>
            </a:ln>
            <a:effectLst/>
          </c:spPr>
          <c:marker>
            <c:symbol val="none"/>
          </c:marker>
          <c:cat>
            <c:numRef>
              <c:f>'Pasador rotula inf'!$B$2:$M$2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'Pasador rotula inf'!$B$8:$M$8</c:f>
              <c:numCache>
                <c:formatCode>General</c:formatCode>
                <c:ptCount val="12"/>
                <c:pt idx="0">
                  <c:v>0</c:v>
                </c:pt>
                <c:pt idx="1">
                  <c:v>1.5000000000000001E-4</c:v>
                </c:pt>
                <c:pt idx="2">
                  <c:v>3.3E-4</c:v>
                </c:pt>
                <c:pt idx="3">
                  <c:v>7.1000000000000002E-4</c:v>
                </c:pt>
                <c:pt idx="4">
                  <c:v>1.0799999999999998E-3</c:v>
                </c:pt>
                <c:pt idx="5">
                  <c:v>1.4599999999999999E-3</c:v>
                </c:pt>
                <c:pt idx="6">
                  <c:v>1.8299999999999998E-3</c:v>
                </c:pt>
                <c:pt idx="7">
                  <c:v>2.1999999999999997E-3</c:v>
                </c:pt>
                <c:pt idx="8">
                  <c:v>2.5799999999999998E-3</c:v>
                </c:pt>
                <c:pt idx="9">
                  <c:v>2.9499999999999999E-3</c:v>
                </c:pt>
                <c:pt idx="10">
                  <c:v>3.3300000000000001E-3</c:v>
                </c:pt>
                <c:pt idx="11">
                  <c:v>3.6999999999999997E-3</c:v>
                </c:pt>
              </c:numCache>
            </c:numRef>
          </c:val>
          <c:smooth val="0"/>
          <c:extLst>
            <c:ext xmlns:c16="http://schemas.microsoft.com/office/drawing/2014/chart" uri="{C3380CC4-5D6E-409C-BE32-E72D297353CC}">
              <c16:uniqueId val="{00000000-198E-445F-AE9F-02E60670A224}"/>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562744744744745"/>
              <c:y val="0.9561696759259260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3.8000000000000013E-3"/>
          <c:min val="0"/>
        </c:scaling>
        <c:delete val="0"/>
        <c:axPos val="l"/>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5.0000000000000012E-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Rótula - Desplazamiento longitudinal neto RMS [mm]</a:t>
            </a:r>
            <a:endParaRPr lang="es-AR" sz="18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0.11408738738738738"/>
          <c:y val="8.9472222222222245E-2"/>
          <c:w val="0.86489159159159157"/>
          <c:h val="0.8079061111111111"/>
        </c:manualLayout>
      </c:layout>
      <c:lineChart>
        <c:grouping val="standard"/>
        <c:varyColors val="0"/>
        <c:ser>
          <c:idx val="0"/>
          <c:order val="0"/>
          <c:tx>
            <c:strRef>
              <c:f>rotula!$A$8</c:f>
              <c:strCache>
                <c:ptCount val="1"/>
                <c:pt idx="0">
                  <c:v>Desplazamiento Neto [mm]</c:v>
                </c:pt>
              </c:strCache>
            </c:strRef>
          </c:tx>
          <c:spPr>
            <a:ln w="22225" cap="rnd">
              <a:solidFill>
                <a:schemeClr val="accent1"/>
              </a:solidFill>
              <a:round/>
            </a:ln>
            <a:effectLst/>
          </c:spPr>
          <c:marker>
            <c:symbol val="none"/>
          </c:marker>
          <c:cat>
            <c:numRef>
              <c:f>rotula!$B$2:$M$2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rotula!$B$8:$M$8</c:f>
              <c:numCache>
                <c:formatCode>0.0000</c:formatCode>
                <c:ptCount val="12"/>
                <c:pt idx="0">
                  <c:v>0</c:v>
                </c:pt>
                <c:pt idx="1">
                  <c:v>8.3099999999999992E-4</c:v>
                </c:pt>
                <c:pt idx="2">
                  <c:v>1.8809999999999999E-3</c:v>
                </c:pt>
                <c:pt idx="3">
                  <c:v>3.9709999999999997E-3</c:v>
                </c:pt>
                <c:pt idx="4">
                  <c:v>6.0610000000000004E-3</c:v>
                </c:pt>
                <c:pt idx="5">
                  <c:v>8.1509999999999985E-3</c:v>
                </c:pt>
                <c:pt idx="6">
                  <c:v>1.0190999999999999E-2</c:v>
                </c:pt>
                <c:pt idx="7">
                  <c:v>1.2291E-2</c:v>
                </c:pt>
                <c:pt idx="8">
                  <c:v>1.4390999999999999E-2</c:v>
                </c:pt>
                <c:pt idx="9">
                  <c:v>1.6490999999999999E-2</c:v>
                </c:pt>
                <c:pt idx="10">
                  <c:v>1.8591E-2</c:v>
                </c:pt>
                <c:pt idx="11">
                  <c:v>2.0690999999999998E-2</c:v>
                </c:pt>
              </c:numCache>
            </c:numRef>
          </c:val>
          <c:smooth val="0"/>
          <c:extLst>
            <c:ext xmlns:c16="http://schemas.microsoft.com/office/drawing/2014/chart" uri="{C3380CC4-5D6E-409C-BE32-E72D297353CC}">
              <c16:uniqueId val="{00000000-9D30-4564-9021-18A8A8528FE9}"/>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1622942942942942"/>
              <c:y val="0.956640925925925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2.2000000000000006E-2"/>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9.4378378378378383E-3"/>
              <c:y val="0.3080229629629629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2.0000000000000005E-3"/>
        <c:minorUnit val="1.0000000000000002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400" b="1" i="0" u="none" strike="noStrike" kern="1200" cap="none" spc="0" normalizeH="0" baseline="0">
                <a:solidFill>
                  <a:sysClr val="windowText" lastClr="000000">
                    <a:lumMod val="50000"/>
                    <a:lumOff val="50000"/>
                  </a:sysClr>
                </a:solidFill>
              </a:rPr>
              <a:t>Travesaño fijo - Desplazamiento longitudinal neto RMS [mm]</a:t>
            </a:r>
            <a:endParaRPr lang="es-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9.1204504504504499E-2"/>
          <c:y val="9.6527777777777782E-2"/>
          <c:w val="0.88396062992125979"/>
          <c:h val="0.79438310185185201"/>
        </c:manualLayout>
      </c:layout>
      <c:lineChart>
        <c:grouping val="standard"/>
        <c:varyColors val="0"/>
        <c:ser>
          <c:idx val="0"/>
          <c:order val="0"/>
          <c:tx>
            <c:strRef>
              <c:f>'Travezaño fijo'!$A$8</c:f>
              <c:strCache>
                <c:ptCount val="1"/>
                <c:pt idx="0">
                  <c:v>Desplazamiento Neto [mm]</c:v>
                </c:pt>
              </c:strCache>
            </c:strRef>
          </c:tx>
          <c:spPr>
            <a:ln w="22225" cap="rnd">
              <a:solidFill>
                <a:schemeClr val="accent1"/>
              </a:solidFill>
              <a:round/>
            </a:ln>
            <a:effectLst/>
          </c:spPr>
          <c:marker>
            <c:symbol val="none"/>
          </c:marker>
          <c:cat>
            <c:numRef>
              <c:f>'Travezaño fijo'!$B$2:$M$2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'Travezaño fijo'!$B$8:$M$8</c:f>
              <c:numCache>
                <c:formatCode>General</c:formatCode>
                <c:ptCount val="12"/>
                <c:pt idx="0">
                  <c:v>0</c:v>
                </c:pt>
                <c:pt idx="1">
                  <c:v>3.8100000000000009E-3</c:v>
                </c:pt>
                <c:pt idx="2">
                  <c:v>8.4100000000000008E-3</c:v>
                </c:pt>
                <c:pt idx="3">
                  <c:v>1.6972000000000001E-2</c:v>
                </c:pt>
                <c:pt idx="4">
                  <c:v>2.4508000000000002E-2</c:v>
                </c:pt>
                <c:pt idx="5">
                  <c:v>3.1940000000000003E-2</c:v>
                </c:pt>
                <c:pt idx="6">
                  <c:v>3.9620000000000002E-2</c:v>
                </c:pt>
                <c:pt idx="7">
                  <c:v>4.7390000000000002E-2</c:v>
                </c:pt>
                <c:pt idx="8">
                  <c:v>5.5279999999999996E-2</c:v>
                </c:pt>
                <c:pt idx="9">
                  <c:v>6.3240000000000005E-2</c:v>
                </c:pt>
                <c:pt idx="10">
                  <c:v>7.1529999999999996E-2</c:v>
                </c:pt>
                <c:pt idx="11">
                  <c:v>8.1950000000000009E-2</c:v>
                </c:pt>
              </c:numCache>
            </c:numRef>
          </c:val>
          <c:smooth val="0"/>
          <c:extLst>
            <c:ext xmlns:c16="http://schemas.microsoft.com/office/drawing/2014/chart" uri="{C3380CC4-5D6E-409C-BE32-E72D297353CC}">
              <c16:uniqueId val="{00000000-24F0-4411-AD78-8F879AB5C637}"/>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2385705705705712"/>
              <c:y val="0.9561696759259260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8.500000000000002E-2"/>
          <c:min val="0"/>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9.7117117117117115E-4"/>
              <c:y val="0.2707856481481480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1.0000000000000002E-2"/>
        <c:minorUnit val="5.000000000000001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Tornillo de potencia </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s-AR" sz="1800" b="1" i="0" u="none" strike="noStrike" kern="1200" cap="none" spc="0" normalizeH="0" baseline="0">
              <a:solidFill>
                <a:sysClr val="windowText" lastClr="000000">
                  <a:lumMod val="50000"/>
                  <a:lumOff val="50000"/>
                </a:sysClr>
              </a:solidFill>
            </a:endParaRPr>
          </a:p>
        </c:rich>
      </c:tx>
      <c:layout>
        <c:manualLayout>
          <c:xMode val="edge"/>
          <c:yMode val="edge"/>
          <c:x val="0.22613483483483479"/>
          <c:y val="1.175925925925925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9.1204504504504499E-2"/>
          <c:y val="0.14650462962962962"/>
          <c:w val="0.87823993993993998"/>
          <c:h val="0.74146643518518518"/>
        </c:manualLayout>
      </c:layout>
      <c:lineChart>
        <c:grouping val="standard"/>
        <c:varyColors val="0"/>
        <c:ser>
          <c:idx val="0"/>
          <c:order val="0"/>
          <c:tx>
            <c:strRef>
              <c:f>Tornillo!$A$9</c:f>
              <c:strCache>
                <c:ptCount val="1"/>
                <c:pt idx="0">
                  <c:v>Desplazamiento Neto [mm]</c:v>
                </c:pt>
              </c:strCache>
            </c:strRef>
          </c:tx>
          <c:spPr>
            <a:ln w="22225" cap="rnd">
              <a:solidFill>
                <a:schemeClr val="accent1"/>
              </a:solidFill>
              <a:round/>
            </a:ln>
            <a:effectLst/>
          </c:spPr>
          <c:marker>
            <c:symbol val="none"/>
          </c:marker>
          <c:cat>
            <c:numRef>
              <c:f>Tornillo!$B$2:$M$2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Tornillo!$B$9:$M$9</c:f>
              <c:numCache>
                <c:formatCode>0.0000</c:formatCode>
                <c:ptCount val="12"/>
                <c:pt idx="0">
                  <c:v>0</c:v>
                </c:pt>
                <c:pt idx="1">
                  <c:v>2.1289999999999998E-3</c:v>
                </c:pt>
                <c:pt idx="2">
                  <c:v>4.7789999999999994E-3</c:v>
                </c:pt>
                <c:pt idx="3">
                  <c:v>1.0069E-2</c:v>
                </c:pt>
                <c:pt idx="4">
                  <c:v>1.5369000000000001E-2</c:v>
                </c:pt>
                <c:pt idx="5">
                  <c:v>2.0669E-2</c:v>
                </c:pt>
                <c:pt idx="6">
                  <c:v>2.6068999999999998E-2</c:v>
                </c:pt>
                <c:pt idx="7">
                  <c:v>3.1369000000000001E-2</c:v>
                </c:pt>
                <c:pt idx="8">
                  <c:v>3.6669E-2</c:v>
                </c:pt>
                <c:pt idx="9">
                  <c:v>4.1969000000000006E-2</c:v>
                </c:pt>
                <c:pt idx="10">
                  <c:v>4.7269000000000005E-2</c:v>
                </c:pt>
                <c:pt idx="11">
                  <c:v>5.2569000000000005E-2</c:v>
                </c:pt>
              </c:numCache>
            </c:numRef>
          </c:val>
          <c:smooth val="0"/>
          <c:extLst>
            <c:ext xmlns:c16="http://schemas.microsoft.com/office/drawing/2014/chart" uri="{C3380CC4-5D6E-409C-BE32-E72D297353CC}">
              <c16:uniqueId val="{00000000-398D-4637-A4B8-BD206BD0270D}"/>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3720540540540542"/>
              <c:y val="0.950290046296296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5.5000000000000007E-2"/>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4.784984984984985E-3"/>
              <c:y val="0.2869546296296296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5.000000000000001E-3"/>
        <c:minorUnit val="1.0000000000000002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Tuerca de potencia </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s-AR" sz="18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0.11790120120120121"/>
          <c:y val="0.15826388888888893"/>
          <c:w val="0.85154324324324326"/>
          <c:h val="0.72088764946048411"/>
        </c:manualLayout>
      </c:layout>
      <c:lineChart>
        <c:grouping val="standard"/>
        <c:varyColors val="0"/>
        <c:ser>
          <c:idx val="0"/>
          <c:order val="0"/>
          <c:tx>
            <c:strRef>
              <c:f>Tuerca!$A$9</c:f>
              <c:strCache>
                <c:ptCount val="1"/>
                <c:pt idx="0">
                  <c:v>Desplazamiento Neto [mm]</c:v>
                </c:pt>
              </c:strCache>
            </c:strRef>
          </c:tx>
          <c:spPr>
            <a:ln w="22225" cap="rnd">
              <a:solidFill>
                <a:schemeClr val="accent1"/>
              </a:solidFill>
              <a:round/>
            </a:ln>
            <a:effectLst/>
          </c:spPr>
          <c:marker>
            <c:symbol val="none"/>
          </c:marker>
          <c:cat>
            <c:numRef>
              <c:f>Tuerca!$B$2:$M$2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Tuerca!$B$9:$M$9</c:f>
              <c:numCache>
                <c:formatCode>0.000000</c:formatCode>
                <c:ptCount val="12"/>
                <c:pt idx="0">
                  <c:v>0</c:v>
                </c:pt>
                <c:pt idx="1">
                  <c:v>2.3670000000000002E-5</c:v>
                </c:pt>
                <c:pt idx="2">
                  <c:v>5.3369999999999999E-5</c:v>
                </c:pt>
                <c:pt idx="3">
                  <c:v>1.1307E-4</c:v>
                </c:pt>
                <c:pt idx="4">
                  <c:v>1.7207E-4</c:v>
                </c:pt>
                <c:pt idx="5">
                  <c:v>2.3107E-4</c:v>
                </c:pt>
                <c:pt idx="6">
                  <c:v>2.9006999999999997E-4</c:v>
                </c:pt>
                <c:pt idx="7">
                  <c:v>3.5006999999999996E-4</c:v>
                </c:pt>
                <c:pt idx="8">
                  <c:v>4.0906999999999998E-4</c:v>
                </c:pt>
                <c:pt idx="9">
                  <c:v>4.6806999999999996E-4</c:v>
                </c:pt>
                <c:pt idx="10">
                  <c:v>5.2806999999999995E-4</c:v>
                </c:pt>
                <c:pt idx="11">
                  <c:v>5.8706999999999997E-4</c:v>
                </c:pt>
              </c:numCache>
            </c:numRef>
          </c:val>
          <c:smooth val="0"/>
          <c:extLst>
            <c:ext xmlns:c16="http://schemas.microsoft.com/office/drawing/2014/chart" uri="{C3380CC4-5D6E-409C-BE32-E72D297353CC}">
              <c16:uniqueId val="{00000000-91F3-4A78-8770-A67B00BD44C2}"/>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5150720720720722"/>
              <c:y val="0.953229861111111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6.5000000000000019E-4"/>
          <c:min val="0"/>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8.3699699699699703E-3"/>
              <c:y val="0.309003240740740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1.0000000000000003E-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a:t>Travesaño</a:t>
            </a:r>
            <a:r>
              <a:rPr lang="es-AR" baseline="0"/>
              <a:t> móvil - </a:t>
            </a:r>
            <a:r>
              <a:rPr lang="es-AR"/>
              <a:t>Desplazamiento longitudinal neto RMS [mm]</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9.7848746729791297E-2"/>
          <c:y val="0.10240740740740741"/>
          <c:w val="0.87159562356453546"/>
          <c:h val="0.78556365740740752"/>
        </c:manualLayout>
      </c:layout>
      <c:lineChart>
        <c:grouping val="standard"/>
        <c:varyColors val="0"/>
        <c:ser>
          <c:idx val="0"/>
          <c:order val="0"/>
          <c:tx>
            <c:strRef>
              <c:f>'Travezaño movil'!$A$8</c:f>
              <c:strCache>
                <c:ptCount val="1"/>
                <c:pt idx="0">
                  <c:v>Desplazamiento Neto [mm]</c:v>
                </c:pt>
              </c:strCache>
            </c:strRef>
          </c:tx>
          <c:spPr>
            <a:ln w="22225" cap="rnd">
              <a:solidFill>
                <a:schemeClr val="accent1"/>
              </a:solidFill>
              <a:round/>
            </a:ln>
            <a:effectLst/>
          </c:spPr>
          <c:marker>
            <c:symbol val="none"/>
          </c:marker>
          <c:cat>
            <c:numRef>
              <c:f>'Travezaño movil'!$B$2:$M$2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'Travezaño movil'!$B$8:$M$8</c:f>
              <c:numCache>
                <c:formatCode>General</c:formatCode>
                <c:ptCount val="12"/>
                <c:pt idx="0">
                  <c:v>0</c:v>
                </c:pt>
                <c:pt idx="1">
                  <c:v>2.0400000000000001E-3</c:v>
                </c:pt>
                <c:pt idx="2">
                  <c:v>4.6500000000000014E-3</c:v>
                </c:pt>
                <c:pt idx="3">
                  <c:v>1.0002E-2</c:v>
                </c:pt>
                <c:pt idx="4">
                  <c:v>1.5471E-2</c:v>
                </c:pt>
                <c:pt idx="5">
                  <c:v>2.1101000000000002E-2</c:v>
                </c:pt>
                <c:pt idx="6">
                  <c:v>2.6918999999999998E-2</c:v>
                </c:pt>
                <c:pt idx="7">
                  <c:v>3.2780000000000004E-2</c:v>
                </c:pt>
                <c:pt idx="8">
                  <c:v>3.8699999999999998E-2</c:v>
                </c:pt>
                <c:pt idx="9">
                  <c:v>4.4609999999999997E-2</c:v>
                </c:pt>
                <c:pt idx="10">
                  <c:v>5.058E-2</c:v>
                </c:pt>
                <c:pt idx="11">
                  <c:v>5.663E-2</c:v>
                </c:pt>
              </c:numCache>
            </c:numRef>
          </c:val>
          <c:smooth val="0"/>
          <c:extLst>
            <c:ext xmlns:c16="http://schemas.microsoft.com/office/drawing/2014/chart" uri="{C3380CC4-5D6E-409C-BE32-E72D297353CC}">
              <c16:uniqueId val="{00000000-AFEF-453E-8149-92BCFEC82EBC}"/>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b" anchorCtr="0"/>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3068861731345431"/>
              <c:y val="0.95680439814814822"/>
            </c:manualLayout>
          </c:layout>
          <c:overlay val="0"/>
          <c:spPr>
            <a:noFill/>
            <a:ln>
              <a:noFill/>
            </a:ln>
            <a:effectLst/>
          </c:spPr>
          <c:txPr>
            <a:bodyPr rot="0" spcFirstLastPara="1" vertOverflow="ellipsis" vert="horz" wrap="square" anchor="b" anchorCtr="0"/>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6.0000000000000012E-2"/>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a:t>Desplazamiento longitudinal</a:t>
                </a:r>
                <a:r>
                  <a:rPr lang="es-AR" baseline="0"/>
                  <a:t> [mm]</a:t>
                </a:r>
                <a:endParaRPr lang="es-AR"/>
              </a:p>
            </c:rich>
          </c:tx>
          <c:layout>
            <c:manualLayout>
              <c:xMode val="edge"/>
              <c:yMode val="edge"/>
              <c:x val="6.3643423093181977E-5"/>
              <c:y val="0.297243981481481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5.000000000000001E-3"/>
        <c:minorUnit val="5.000000000000001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Perno rótula superior</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s-AR" sz="1800" b="1" i="0" u="none" strike="noStrike" kern="1200" cap="none" spc="0" normalizeH="0" baseline="0">
              <a:solidFill>
                <a:sysClr val="windowText" lastClr="000000">
                  <a:lumMod val="50000"/>
                  <a:lumOff val="50000"/>
                </a:sysClr>
              </a:solidFill>
            </a:endParaRPr>
          </a:p>
        </c:rich>
      </c:tx>
      <c:layout>
        <c:manualLayout>
          <c:xMode val="edge"/>
          <c:yMode val="edge"/>
          <c:x val="0.23196516516516516"/>
          <c:y val="7.0555555555555554E-3"/>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0.10836666666666667"/>
          <c:y val="0.12239814814814814"/>
          <c:w val="0.87061231231231229"/>
          <c:h val="0.79379500000000003"/>
        </c:manualLayout>
      </c:layout>
      <c:lineChart>
        <c:grouping val="standard"/>
        <c:varyColors val="0"/>
        <c:ser>
          <c:idx val="0"/>
          <c:order val="0"/>
          <c:tx>
            <c:strRef>
              <c:f>'Pasador rotula sup'!$A$8</c:f>
              <c:strCache>
                <c:ptCount val="1"/>
                <c:pt idx="0">
                  <c:v>Desplazamiento Neto [mm]</c:v>
                </c:pt>
              </c:strCache>
            </c:strRef>
          </c:tx>
          <c:spPr>
            <a:ln w="22225" cap="rnd">
              <a:solidFill>
                <a:schemeClr val="accent1"/>
              </a:solidFill>
              <a:round/>
            </a:ln>
            <a:effectLst/>
          </c:spPr>
          <c:marker>
            <c:symbol val="none"/>
          </c:marker>
          <c:cat>
            <c:numRef>
              <c:f>'Pasador rotula sup'!$B$2:$M$2</c:f>
              <c:numCache>
                <c:formatCode>General</c:formatCode>
                <c:ptCount val="12"/>
                <c:pt idx="0">
                  <c:v>0.1</c:v>
                </c:pt>
                <c:pt idx="1">
                  <c:v>0.5</c:v>
                </c:pt>
                <c:pt idx="2">
                  <c:v>1</c:v>
                </c:pt>
                <c:pt idx="3">
                  <c:v>2</c:v>
                </c:pt>
                <c:pt idx="4">
                  <c:v>3</c:v>
                </c:pt>
                <c:pt idx="5">
                  <c:v>4</c:v>
                </c:pt>
                <c:pt idx="6">
                  <c:v>5</c:v>
                </c:pt>
                <c:pt idx="7">
                  <c:v>6</c:v>
                </c:pt>
                <c:pt idx="8">
                  <c:v>7</c:v>
                </c:pt>
                <c:pt idx="9">
                  <c:v>8</c:v>
                </c:pt>
                <c:pt idx="10">
                  <c:v>9</c:v>
                </c:pt>
                <c:pt idx="11">
                  <c:v>10</c:v>
                </c:pt>
              </c:numCache>
            </c:numRef>
          </c:cat>
          <c:val>
            <c:numRef>
              <c:f>'Pasador rotula sup'!$B$8:$M$8</c:f>
              <c:numCache>
                <c:formatCode>General</c:formatCode>
                <c:ptCount val="12"/>
                <c:pt idx="0">
                  <c:v>0</c:v>
                </c:pt>
                <c:pt idx="1">
                  <c:v>1.1119999999999999E-4</c:v>
                </c:pt>
                <c:pt idx="2">
                  <c:v>2.5019999999999996E-4</c:v>
                </c:pt>
                <c:pt idx="3">
                  <c:v>5.2819999999999994E-4</c:v>
                </c:pt>
                <c:pt idx="4">
                  <c:v>8.0619999999999997E-4</c:v>
                </c:pt>
                <c:pt idx="5">
                  <c:v>1.0822000000000002E-3</c:v>
                </c:pt>
                <c:pt idx="6">
                  <c:v>1.3622E-3</c:v>
                </c:pt>
                <c:pt idx="7">
                  <c:v>1.6422000000000001E-3</c:v>
                </c:pt>
                <c:pt idx="8">
                  <c:v>1.9222E-3</c:v>
                </c:pt>
                <c:pt idx="9">
                  <c:v>2.0621999999999997E-3</c:v>
                </c:pt>
                <c:pt idx="10">
                  <c:v>2.4721999999999999E-3</c:v>
                </c:pt>
                <c:pt idx="11">
                  <c:v>2.7521999999999998E-3</c:v>
                </c:pt>
              </c:numCache>
            </c:numRef>
          </c:val>
          <c:smooth val="0"/>
          <c:extLst>
            <c:ext xmlns:c16="http://schemas.microsoft.com/office/drawing/2014/chart" uri="{C3380CC4-5D6E-409C-BE32-E72D297353CC}">
              <c16:uniqueId val="{00000000-453B-4F5C-9D61-FDEA9ED4A009}"/>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4101921921921927"/>
              <c:y val="0.966048333333333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3.0000000000000009E-3"/>
          <c:min val="0"/>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5.6240240240240241E-3"/>
              <c:y val="0.3291896296296296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5.0000000000000012E-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Celda de carga</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8.9297597597597603E-2"/>
          <c:y val="0.15532407407407409"/>
          <c:w val="0.88396062992125979"/>
          <c:h val="0.73558680555555556"/>
        </c:manualLayout>
      </c:layout>
      <c:lineChart>
        <c:grouping val="standard"/>
        <c:varyColors val="0"/>
        <c:ser>
          <c:idx val="0"/>
          <c:order val="0"/>
          <c:tx>
            <c:strRef>
              <c:f>'celda de carga'!$A$8</c:f>
              <c:strCache>
                <c:ptCount val="1"/>
                <c:pt idx="0">
                  <c:v>Desplazamiento Neto [mm]</c:v>
                </c:pt>
              </c:strCache>
            </c:strRef>
          </c:tx>
          <c:spPr>
            <a:ln w="22225" cap="rnd">
              <a:solidFill>
                <a:schemeClr val="accent1"/>
              </a:solidFill>
              <a:round/>
            </a:ln>
            <a:effectLst/>
          </c:spPr>
          <c:marker>
            <c:symbol val="none"/>
          </c:marker>
          <c:cat>
            <c:numRef>
              <c:f>'celda de carga'!$B$2:$M$2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'celda de carga'!$B$8:$M$8</c:f>
              <c:numCache>
                <c:formatCode>0.000</c:formatCode>
                <c:ptCount val="11"/>
                <c:pt idx="0">
                  <c:v>1.1033000000000001E-2</c:v>
                </c:pt>
                <c:pt idx="1">
                  <c:v>2.4813000000000002E-2</c:v>
                </c:pt>
                <c:pt idx="2">
                  <c:v>5.2392999999999995E-2</c:v>
                </c:pt>
                <c:pt idx="3">
                  <c:v>7.9963000000000006E-2</c:v>
                </c:pt>
                <c:pt idx="4">
                  <c:v>0.107543</c:v>
                </c:pt>
                <c:pt idx="5">
                  <c:v>0.13514299999999999</c:v>
                </c:pt>
                <c:pt idx="6">
                  <c:v>0.16264299999999998</c:v>
                </c:pt>
                <c:pt idx="7">
                  <c:v>0.190243</c:v>
                </c:pt>
                <c:pt idx="8">
                  <c:v>0.21784299999999998</c:v>
                </c:pt>
                <c:pt idx="9">
                  <c:v>0.24544299999999999</c:v>
                </c:pt>
                <c:pt idx="10">
                  <c:v>0.27294299999999999</c:v>
                </c:pt>
              </c:numCache>
            </c:numRef>
          </c:val>
          <c:smooth val="0"/>
          <c:extLst>
            <c:ext xmlns:c16="http://schemas.microsoft.com/office/drawing/2014/chart" uri="{C3380CC4-5D6E-409C-BE32-E72D297353CC}">
              <c16:uniqueId val="{00000000-7EDF-450F-8C4E-D75B192C6B2F}"/>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3720540540540542"/>
              <c:y val="0.947350231481481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0.30000000000000004"/>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7.7597597597597601E-3"/>
              <c:y val="0.3354615740740740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2.0000000000000004E-2"/>
        <c:min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kern="1200" cap="none" spc="0" normalizeH="0" baseline="0">
                <a:solidFill>
                  <a:sysClr val="windowText" lastClr="000000"/>
                </a:solidFill>
              </a:rPr>
              <a:t>Rigidez de la celda de carga K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8.9297597597597603E-2"/>
          <c:y val="0.15532407407407409"/>
          <c:w val="0.88396062992125979"/>
          <c:h val="0.73558680555555556"/>
        </c:manualLayout>
      </c:layout>
      <c:lineChart>
        <c:grouping val="standard"/>
        <c:varyColors val="0"/>
        <c:ser>
          <c:idx val="0"/>
          <c:order val="0"/>
          <c:tx>
            <c:strRef>
              <c:f>'celda de carga'!$A$9</c:f>
              <c:strCache>
                <c:ptCount val="1"/>
                <c:pt idx="0">
                  <c:v>Rigidez de la celda de carga [kN/mm]</c:v>
                </c:pt>
              </c:strCache>
            </c:strRef>
          </c:tx>
          <c:spPr>
            <a:ln w="22225" cap="rnd">
              <a:solidFill>
                <a:schemeClr val="accent2">
                  <a:lumMod val="75000"/>
                </a:schemeClr>
              </a:solidFill>
              <a:round/>
            </a:ln>
            <a:effectLst/>
          </c:spPr>
          <c:marker>
            <c:symbol val="none"/>
          </c:marker>
          <c:cat>
            <c:numRef>
              <c:f>'celda de carga'!$C$2:$M$2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'celda de carga'!$C$9:$M$9</c:f>
              <c:numCache>
                <c:formatCode>0.0</c:formatCode>
                <c:ptCount val="11"/>
                <c:pt idx="0">
                  <c:v>45.31858968548898</c:v>
                </c:pt>
                <c:pt idx="1">
                  <c:v>40.301454882521256</c:v>
                </c:pt>
                <c:pt idx="2">
                  <c:v>38.1730383829901</c:v>
                </c:pt>
                <c:pt idx="3">
                  <c:v>37.517351775196026</c:v>
                </c:pt>
                <c:pt idx="4">
                  <c:v>37.194424555759092</c:v>
                </c:pt>
                <c:pt idx="5">
                  <c:v>36.997846725320592</c:v>
                </c:pt>
                <c:pt idx="6">
                  <c:v>36.890613183475466</c:v>
                </c:pt>
                <c:pt idx="7">
                  <c:v>36.795046335476208</c:v>
                </c:pt>
                <c:pt idx="8">
                  <c:v>36.723695505478716</c:v>
                </c:pt>
                <c:pt idx="9">
                  <c:v>36.668391439152877</c:v>
                </c:pt>
                <c:pt idx="10">
                  <c:v>36.637686256837512</c:v>
                </c:pt>
              </c:numCache>
            </c:numRef>
          </c:val>
          <c:smooth val="0"/>
          <c:extLst>
            <c:ext xmlns:c16="http://schemas.microsoft.com/office/drawing/2014/chart" uri="{C3380CC4-5D6E-409C-BE32-E72D297353CC}">
              <c16:uniqueId val="{00000001-79C3-49B8-A730-5D56E08020E3}"/>
            </c:ext>
          </c:extLst>
        </c:ser>
        <c:ser>
          <c:idx val="1"/>
          <c:order val="1"/>
          <c:tx>
            <c:strRef>
              <c:f>'celda de carga'!$A$10</c:f>
              <c:strCache>
                <c:ptCount val="1"/>
                <c:pt idx="0">
                  <c:v>Promedio</c:v>
                </c:pt>
              </c:strCache>
            </c:strRef>
          </c:tx>
          <c:spPr>
            <a:ln w="22225" cap="rnd">
              <a:solidFill>
                <a:srgbClr val="0070C0"/>
              </a:solidFill>
              <a:round/>
            </a:ln>
            <a:effectLst/>
          </c:spPr>
          <c:marker>
            <c:symbol val="none"/>
          </c:marker>
          <c:val>
            <c:numRef>
              <c:f>'celda de carga'!$C$10:$M$10</c:f>
              <c:numCache>
                <c:formatCode>0.0</c:formatCode>
                <c:ptCount val="11"/>
                <c:pt idx="0">
                  <c:v>38.110739884336077</c:v>
                </c:pt>
                <c:pt idx="1">
                  <c:v>38.110739884336077</c:v>
                </c:pt>
                <c:pt idx="2">
                  <c:v>38.110739884336077</c:v>
                </c:pt>
                <c:pt idx="3">
                  <c:v>38.110739884336077</c:v>
                </c:pt>
                <c:pt idx="4">
                  <c:v>38.110739884336077</c:v>
                </c:pt>
                <c:pt idx="5">
                  <c:v>38.110739884336077</c:v>
                </c:pt>
                <c:pt idx="6">
                  <c:v>38.110739884336077</c:v>
                </c:pt>
                <c:pt idx="7">
                  <c:v>38.110739884336077</c:v>
                </c:pt>
                <c:pt idx="8">
                  <c:v>38.110739884336077</c:v>
                </c:pt>
                <c:pt idx="9">
                  <c:v>38.110739884336077</c:v>
                </c:pt>
                <c:pt idx="10">
                  <c:v>38.110739884336077</c:v>
                </c:pt>
              </c:numCache>
            </c:numRef>
          </c:val>
          <c:smooth val="0"/>
          <c:extLst>
            <c:ext xmlns:c16="http://schemas.microsoft.com/office/drawing/2014/chart" uri="{C3380CC4-5D6E-409C-BE32-E72D297353CC}">
              <c16:uniqueId val="{00000003-79C3-49B8-A730-5D56E08020E3}"/>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3720540540540542"/>
              <c:y val="0.947350231481481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46"/>
          <c:min val="33"/>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lumMod val="65000"/>
                        <a:lumOff val="35000"/>
                      </a:sysClr>
                    </a:solidFill>
                    <a:latin typeface="+mn-lt"/>
                    <a:ea typeface="+mn-ea"/>
                    <a:cs typeface="+mn-cs"/>
                  </a:defRPr>
                </a:pPr>
                <a:r>
                  <a:rPr lang="es-AR" sz="900" b="1" i="0" u="none" strike="noStrike" kern="1200" baseline="0">
                    <a:solidFill>
                      <a:sysClr val="windowText" lastClr="000000">
                        <a:lumMod val="65000"/>
                        <a:lumOff val="35000"/>
                      </a:sysClr>
                    </a:solidFill>
                  </a:rPr>
                  <a:t>rigidez [kN/mm]</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AR" sz="900" b="1" i="0" u="none" strike="noStrike" kern="1200" baseline="0">
                  <a:solidFill>
                    <a:sysClr val="windowText" lastClr="000000">
                      <a:lumMod val="65000"/>
                      <a:lumOff val="35000"/>
                    </a:sysClr>
                  </a:solidFill>
                </a:endParaRPr>
              </a:p>
            </c:rich>
          </c:tx>
          <c:layout>
            <c:manualLayout>
              <c:xMode val="edge"/>
              <c:yMode val="edge"/>
              <c:x val="1.7010348213611303E-3"/>
              <c:y val="0.37216354073346242"/>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lumMod val="65000"/>
                      <a:lumOff val="35000"/>
                    </a:sys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1"/>
        <c:min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AR" sz="1600" b="1" i="0" u="none" strike="noStrike" kern="1200" cap="none" spc="0" normalizeH="0" baseline="0">
                <a:solidFill>
                  <a:sysClr val="windowText" lastClr="000000">
                    <a:lumMod val="50000"/>
                    <a:lumOff val="50000"/>
                  </a:sysClr>
                </a:solidFill>
              </a:rPr>
              <a:t>Probeta de ensayo</a:t>
            </a:r>
          </a:p>
          <a:p>
            <a:pPr>
              <a:defRPr/>
            </a:pPr>
            <a:r>
              <a:rPr lang="es-AR" sz="1600" b="1" i="0" u="none" strike="noStrike" kern="1200" cap="none" spc="0" normalizeH="0" baseline="0">
                <a:solidFill>
                  <a:sysClr val="windowText" lastClr="000000">
                    <a:lumMod val="50000"/>
                    <a:lumOff val="50000"/>
                  </a:sysClr>
                </a:solidFill>
              </a:rPr>
              <a:t>Desplazamiento longitudinal neto RMS [mm]</a:t>
            </a:r>
            <a:endParaRPr lang="en-US" sz="16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9.8832132132132128E-2"/>
          <c:y val="0.16708333333333336"/>
          <c:w val="0.87061231231231229"/>
          <c:h val="0.72088764946048411"/>
        </c:manualLayout>
      </c:layout>
      <c:lineChart>
        <c:grouping val="standard"/>
        <c:varyColors val="0"/>
        <c:ser>
          <c:idx val="0"/>
          <c:order val="0"/>
          <c:tx>
            <c:strRef>
              <c:f>'probeta ensayo'!$A$3</c:f>
              <c:strCache>
                <c:ptCount val="1"/>
                <c:pt idx="0">
                  <c:v>Valor RMS [mm]</c:v>
                </c:pt>
              </c:strCache>
            </c:strRef>
          </c:tx>
          <c:spPr>
            <a:ln w="22225" cap="rnd">
              <a:solidFill>
                <a:schemeClr val="accent1"/>
              </a:solidFill>
              <a:round/>
            </a:ln>
            <a:effectLst/>
          </c:spPr>
          <c:marker>
            <c:symbol val="none"/>
          </c:marker>
          <c:cat>
            <c:numRef>
              <c:f>'probeta ensayo'!$B$2:$L$2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'probeta ensayo'!$B$3:$L$3</c:f>
              <c:numCache>
                <c:formatCode>General</c:formatCode>
                <c:ptCount val="11"/>
                <c:pt idx="0">
                  <c:v>2.9999999999999997E-4</c:v>
                </c:pt>
                <c:pt idx="1">
                  <c:v>5.9999999999999995E-4</c:v>
                </c:pt>
                <c:pt idx="2">
                  <c:v>1.2999999999999999E-3</c:v>
                </c:pt>
                <c:pt idx="3">
                  <c:v>1.9E-3</c:v>
                </c:pt>
                <c:pt idx="4">
                  <c:v>2.5000000000000001E-3</c:v>
                </c:pt>
                <c:pt idx="5">
                  <c:v>3.2000000000000002E-3</c:v>
                </c:pt>
                <c:pt idx="6">
                  <c:v>3.8E-3</c:v>
                </c:pt>
                <c:pt idx="7">
                  <c:v>4.4000000000000003E-3</c:v>
                </c:pt>
                <c:pt idx="8">
                  <c:v>5.1000000000000004E-3</c:v>
                </c:pt>
                <c:pt idx="9">
                  <c:v>5.7000000000000002E-3</c:v>
                </c:pt>
                <c:pt idx="10">
                  <c:v>6.4000000000000003E-3</c:v>
                </c:pt>
              </c:numCache>
            </c:numRef>
          </c:val>
          <c:smooth val="0"/>
          <c:extLst>
            <c:ext xmlns:c16="http://schemas.microsoft.com/office/drawing/2014/chart" uri="{C3380CC4-5D6E-409C-BE32-E72D297353CC}">
              <c16:uniqueId val="{00000001-D53A-467D-9C4E-EE5D35C2051C}"/>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2867672672672674"/>
              <c:y val="0.950290046296296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7.0000000000000019E-3"/>
          <c:min val="0"/>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Desplazamiento longitudinal [mm]</a:t>
                </a:r>
              </a:p>
            </c:rich>
          </c:tx>
          <c:layout>
            <c:manualLayout>
              <c:xMode val="edge"/>
              <c:yMode val="edge"/>
              <c:x val="4.7849849849849841E-3"/>
              <c:y val="0.3194912037037037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1.0000000000000002E-3"/>
        <c:minorUnit val="5.0000000000000012E-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kern="1200" cap="none" spc="0" normalizeH="0" baseline="0">
                <a:solidFill>
                  <a:sysClr val="windowText" lastClr="000000"/>
                </a:solidFill>
              </a:rPr>
              <a:t>Rigidez de la probeta de prueba K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8.9297597597597603E-2"/>
          <c:y val="0.15532407407407409"/>
          <c:w val="0.88396062992125979"/>
          <c:h val="0.73558680555555556"/>
        </c:manualLayout>
      </c:layout>
      <c:lineChart>
        <c:grouping val="standard"/>
        <c:varyColors val="0"/>
        <c:ser>
          <c:idx val="0"/>
          <c:order val="0"/>
          <c:tx>
            <c:strRef>
              <c:f>'probeta ensayo'!$A$4</c:f>
              <c:strCache>
                <c:ptCount val="1"/>
                <c:pt idx="0">
                  <c:v>Rigidez de la probeta de prueba [kN/mm]</c:v>
                </c:pt>
              </c:strCache>
            </c:strRef>
          </c:tx>
          <c:spPr>
            <a:ln w="22225" cap="rnd">
              <a:solidFill>
                <a:schemeClr val="accent1"/>
              </a:solidFill>
              <a:round/>
            </a:ln>
            <a:effectLst/>
          </c:spPr>
          <c:marker>
            <c:symbol val="none"/>
          </c:marker>
          <c:cat>
            <c:numRef>
              <c:f>'probeta ensayo'!$B$2:$L$2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'probeta ensayo'!$B$4:$L$4</c:f>
              <c:numCache>
                <c:formatCode>General</c:formatCode>
                <c:ptCount val="11"/>
                <c:pt idx="0">
                  <c:v>1666.6666666666667</c:v>
                </c:pt>
                <c:pt idx="1">
                  <c:v>1666.6666666666667</c:v>
                </c:pt>
                <c:pt idx="2">
                  <c:v>1538.4615384615386</c:v>
                </c:pt>
                <c:pt idx="3">
                  <c:v>1578.9473684210527</c:v>
                </c:pt>
                <c:pt idx="4">
                  <c:v>1600</c:v>
                </c:pt>
                <c:pt idx="5">
                  <c:v>1562.5</c:v>
                </c:pt>
                <c:pt idx="6">
                  <c:v>1578.9473684210527</c:v>
                </c:pt>
                <c:pt idx="7">
                  <c:v>1590.9090909090908</c:v>
                </c:pt>
                <c:pt idx="8">
                  <c:v>1568.627450980392</c:v>
                </c:pt>
                <c:pt idx="9">
                  <c:v>1578.9473684210525</c:v>
                </c:pt>
                <c:pt idx="10">
                  <c:v>1562.5</c:v>
                </c:pt>
              </c:numCache>
            </c:numRef>
          </c:val>
          <c:smooth val="0"/>
          <c:extLst>
            <c:ext xmlns:c16="http://schemas.microsoft.com/office/drawing/2014/chart" uri="{C3380CC4-5D6E-409C-BE32-E72D297353CC}">
              <c16:uniqueId val="{00000002-F61A-4F94-9707-5090FF59F970}"/>
            </c:ext>
          </c:extLst>
        </c:ser>
        <c:ser>
          <c:idx val="1"/>
          <c:order val="1"/>
          <c:tx>
            <c:strRef>
              <c:f>'probeta ensayo'!$A$5</c:f>
              <c:strCache>
                <c:ptCount val="1"/>
                <c:pt idx="0">
                  <c:v>Promedio</c:v>
                </c:pt>
              </c:strCache>
            </c:strRef>
          </c:tx>
          <c:spPr>
            <a:ln w="22225" cap="rnd">
              <a:solidFill>
                <a:schemeClr val="accent2"/>
              </a:solidFill>
              <a:round/>
            </a:ln>
            <a:effectLst/>
          </c:spPr>
          <c:marker>
            <c:symbol val="none"/>
          </c:marker>
          <c:cat>
            <c:numRef>
              <c:f>'probeta ensayo'!$B$2:$L$2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'probeta ensayo'!$B$5:$L$5</c:f>
              <c:numCache>
                <c:formatCode>General</c:formatCode>
                <c:ptCount val="11"/>
                <c:pt idx="0">
                  <c:v>1590.288501722501</c:v>
                </c:pt>
                <c:pt idx="1">
                  <c:v>1590.288501722501</c:v>
                </c:pt>
                <c:pt idx="2">
                  <c:v>1590.288501722501</c:v>
                </c:pt>
                <c:pt idx="3">
                  <c:v>1590.288501722501</c:v>
                </c:pt>
                <c:pt idx="4">
                  <c:v>1590.288501722501</c:v>
                </c:pt>
                <c:pt idx="5">
                  <c:v>1590.288501722501</c:v>
                </c:pt>
                <c:pt idx="6">
                  <c:v>1590.288501722501</c:v>
                </c:pt>
                <c:pt idx="7">
                  <c:v>1590.288501722501</c:v>
                </c:pt>
                <c:pt idx="8">
                  <c:v>1590.288501722501</c:v>
                </c:pt>
                <c:pt idx="9">
                  <c:v>1590.288501722501</c:v>
                </c:pt>
                <c:pt idx="10">
                  <c:v>1590.288501722501</c:v>
                </c:pt>
              </c:numCache>
            </c:numRef>
          </c:val>
          <c:smooth val="0"/>
          <c:extLst>
            <c:ext xmlns:c16="http://schemas.microsoft.com/office/drawing/2014/chart" uri="{C3380CC4-5D6E-409C-BE32-E72D297353CC}">
              <c16:uniqueId val="{00000003-F61A-4F94-9707-5090FF59F970}"/>
            </c:ext>
          </c:extLst>
        </c:ser>
        <c:dLbls>
          <c:showLegendKey val="0"/>
          <c:showVal val="0"/>
          <c:showCatName val="0"/>
          <c:showSerName val="0"/>
          <c:showPercent val="0"/>
          <c:showBubbleSize val="0"/>
        </c:dLbls>
        <c:smooth val="0"/>
        <c:axId val="1273009552"/>
        <c:axId val="1271574048"/>
      </c:lineChart>
      <c:catAx>
        <c:axId val="1273009552"/>
        <c:scaling>
          <c:orientation val="minMax"/>
        </c:scaling>
        <c:delete val="0"/>
        <c:axPos val="b"/>
        <c:majorGridlines>
          <c:spPr>
            <a:ln w="9525" cap="flat" cmpd="sng" algn="ctr">
              <a:solidFill>
                <a:schemeClr val="tx1">
                  <a:lumMod val="50000"/>
                  <a:lumOff val="50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3720540540540542"/>
              <c:y val="0.947350231481481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0"/>
        <c:majorTickMark val="in"/>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271574048"/>
        <c:crosses val="autoZero"/>
        <c:auto val="0"/>
        <c:lblAlgn val="ctr"/>
        <c:lblOffset val="100"/>
        <c:tickMarkSkip val="1"/>
        <c:noMultiLvlLbl val="0"/>
      </c:catAx>
      <c:valAx>
        <c:axId val="1271574048"/>
        <c:scaling>
          <c:orientation val="minMax"/>
          <c:max val="1670"/>
          <c:min val="1534"/>
        </c:scaling>
        <c:delete val="0"/>
        <c:axPos val="l"/>
        <c:majorGridlines>
          <c:spPr>
            <a:ln w="9525" cap="flat" cmpd="sng" algn="ctr">
              <a:solidFill>
                <a:schemeClr val="tx1">
                  <a:lumMod val="50000"/>
                  <a:lumOff val="50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lumMod val="65000"/>
                        <a:lumOff val="35000"/>
                      </a:sysClr>
                    </a:solidFill>
                    <a:latin typeface="+mn-lt"/>
                    <a:ea typeface="+mn-ea"/>
                    <a:cs typeface="+mn-cs"/>
                  </a:defRPr>
                </a:pPr>
                <a:r>
                  <a:rPr lang="es-AR" sz="900" b="1" i="0" u="none" strike="noStrike" kern="1200" baseline="0">
                    <a:solidFill>
                      <a:sysClr val="windowText" lastClr="000000">
                        <a:lumMod val="65000"/>
                        <a:lumOff val="35000"/>
                      </a:sysClr>
                    </a:solidFill>
                  </a:rPr>
                  <a:t>rigidez [kN/mm]</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AR" sz="900" b="1" i="0" u="none" strike="noStrike" kern="1200" baseline="0">
                  <a:solidFill>
                    <a:sysClr val="windowText" lastClr="000000">
                      <a:lumMod val="65000"/>
                      <a:lumOff val="35000"/>
                    </a:sysClr>
                  </a:solidFill>
                </a:endParaRPr>
              </a:p>
            </c:rich>
          </c:tx>
          <c:layout>
            <c:manualLayout>
              <c:xMode val="edge"/>
              <c:yMode val="edge"/>
              <c:x val="1.7010348213611303E-3"/>
              <c:y val="0.37216354073346242"/>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lumMod val="65000"/>
                      <a:lumOff val="35000"/>
                    </a:sys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273009552"/>
        <c:crosses val="autoZero"/>
        <c:crossBetween val="midCat"/>
        <c:majorUnit val="10"/>
        <c:minorUnit val="5"/>
      </c:valAx>
      <c:spPr>
        <a:noFill/>
        <a:ln>
          <a:noFill/>
        </a:ln>
        <a:effectLst/>
      </c:spPr>
    </c:plotArea>
    <c:legend>
      <c:legendPos val="r"/>
      <c:layout>
        <c:manualLayout>
          <c:xMode val="edge"/>
          <c:yMode val="edge"/>
          <c:x val="0.46632238879546467"/>
          <c:y val="0.1987826200040459"/>
          <c:w val="0.3660548379786992"/>
          <c:h val="0.13304626766465336"/>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'sumatoria de desp con cuñas'!$A$3</c:f>
              <c:strCache>
                <c:ptCount val="1"/>
                <c:pt idx="0">
                  <c:v>Conjunto mordaza inferior con cuñas</c:v>
                </c:pt>
              </c:strCache>
            </c:strRef>
          </c:tx>
          <c:spPr>
            <a:ln w="28575" cap="rnd">
              <a:solidFill>
                <a:schemeClr val="accent1"/>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cuñas'!$B$3:$L$3</c:f>
              <c:numCache>
                <c:formatCode>General</c:formatCode>
                <c:ptCount val="11"/>
                <c:pt idx="0">
                  <c:v>2.6725000000000002E-2</c:v>
                </c:pt>
                <c:pt idx="1">
                  <c:v>5.9435000000000002E-2</c:v>
                </c:pt>
                <c:pt idx="2">
                  <c:v>0.12751500000000002</c:v>
                </c:pt>
                <c:pt idx="3">
                  <c:v>0.217115</c:v>
                </c:pt>
                <c:pt idx="4">
                  <c:v>0.293715</c:v>
                </c:pt>
                <c:pt idx="5">
                  <c:v>0.31921500000000003</c:v>
                </c:pt>
                <c:pt idx="6">
                  <c:v>0.38441500000000001</c:v>
                </c:pt>
                <c:pt idx="7">
                  <c:v>0.44971499999999998</c:v>
                </c:pt>
                <c:pt idx="8">
                  <c:v>0.56771499999999997</c:v>
                </c:pt>
                <c:pt idx="9">
                  <c:v>0.64141499999999996</c:v>
                </c:pt>
                <c:pt idx="10">
                  <c:v>0.71571499999999999</c:v>
                </c:pt>
              </c:numCache>
            </c:numRef>
          </c:val>
          <c:smooth val="0"/>
          <c:extLst>
            <c:ext xmlns:c16="http://schemas.microsoft.com/office/drawing/2014/chart" uri="{C3380CC4-5D6E-409C-BE32-E72D297353CC}">
              <c16:uniqueId val="{00000018-DB2E-4B10-81DA-76C1ECEA697C}"/>
            </c:ext>
          </c:extLst>
        </c:ser>
        <c:ser>
          <c:idx val="1"/>
          <c:order val="1"/>
          <c:tx>
            <c:strRef>
              <c:f>'sumatoria de desp con cuñas'!$A$4</c:f>
              <c:strCache>
                <c:ptCount val="1"/>
                <c:pt idx="0">
                  <c:v>Perno de unión mordaza</c:v>
                </c:pt>
              </c:strCache>
            </c:strRef>
          </c:tx>
          <c:spPr>
            <a:ln w="28575" cap="rnd">
              <a:solidFill>
                <a:schemeClr val="accent2"/>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cuñas'!$B$4:$L$4</c:f>
              <c:numCache>
                <c:formatCode>General</c:formatCode>
                <c:ptCount val="11"/>
                <c:pt idx="0">
                  <c:v>4.999999999999999E-4</c:v>
                </c:pt>
                <c:pt idx="1">
                  <c:v>1E-3</c:v>
                </c:pt>
                <c:pt idx="2">
                  <c:v>2.1000000000000003E-3</c:v>
                </c:pt>
                <c:pt idx="3">
                  <c:v>3.2000000000000002E-3</c:v>
                </c:pt>
                <c:pt idx="4">
                  <c:v>4.3999999999999994E-3</c:v>
                </c:pt>
                <c:pt idx="5">
                  <c:v>5.4999999999999997E-3</c:v>
                </c:pt>
                <c:pt idx="6">
                  <c:v>6.6E-3</c:v>
                </c:pt>
                <c:pt idx="7">
                  <c:v>7.6999999999999994E-3</c:v>
                </c:pt>
                <c:pt idx="8">
                  <c:v>8.8000000000000005E-3</c:v>
                </c:pt>
                <c:pt idx="9">
                  <c:v>9.9000000000000008E-3</c:v>
                </c:pt>
                <c:pt idx="10">
                  <c:v>1.1000000000000001E-2</c:v>
                </c:pt>
              </c:numCache>
            </c:numRef>
          </c:val>
          <c:smooth val="0"/>
          <c:extLst>
            <c:ext xmlns:c16="http://schemas.microsoft.com/office/drawing/2014/chart" uri="{C3380CC4-5D6E-409C-BE32-E72D297353CC}">
              <c16:uniqueId val="{0000001A-DB2E-4B10-81DA-76C1ECEA697C}"/>
            </c:ext>
          </c:extLst>
        </c:ser>
        <c:ser>
          <c:idx val="2"/>
          <c:order val="2"/>
          <c:tx>
            <c:strRef>
              <c:f>'sumatoria de desp con cuñas'!$A$5</c:f>
              <c:strCache>
                <c:ptCount val="1"/>
                <c:pt idx="0">
                  <c:v>Rotula Inferior</c:v>
                </c:pt>
              </c:strCache>
            </c:strRef>
          </c:tx>
          <c:spPr>
            <a:ln w="28575" cap="rnd">
              <a:solidFill>
                <a:schemeClr val="accent3"/>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cuñas'!$B$5:$L$5</c:f>
              <c:numCache>
                <c:formatCode>General</c:formatCode>
                <c:ptCount val="11"/>
                <c:pt idx="0">
                  <c:v>8.3099999999999992E-4</c:v>
                </c:pt>
                <c:pt idx="1">
                  <c:v>1.8809999999999999E-3</c:v>
                </c:pt>
                <c:pt idx="2">
                  <c:v>3.9709999999999997E-3</c:v>
                </c:pt>
                <c:pt idx="3">
                  <c:v>6.0610000000000004E-3</c:v>
                </c:pt>
                <c:pt idx="4">
                  <c:v>8.1509999999999985E-3</c:v>
                </c:pt>
                <c:pt idx="5">
                  <c:v>1.0190999999999999E-2</c:v>
                </c:pt>
                <c:pt idx="6">
                  <c:v>1.2291E-2</c:v>
                </c:pt>
                <c:pt idx="7">
                  <c:v>1.4390999999999999E-2</c:v>
                </c:pt>
                <c:pt idx="8">
                  <c:v>1.6490999999999999E-2</c:v>
                </c:pt>
                <c:pt idx="9">
                  <c:v>1.8591E-2</c:v>
                </c:pt>
                <c:pt idx="10">
                  <c:v>2.0690999999999998E-2</c:v>
                </c:pt>
              </c:numCache>
            </c:numRef>
          </c:val>
          <c:smooth val="0"/>
          <c:extLst>
            <c:ext xmlns:c16="http://schemas.microsoft.com/office/drawing/2014/chart" uri="{C3380CC4-5D6E-409C-BE32-E72D297353CC}">
              <c16:uniqueId val="{0000001C-DB2E-4B10-81DA-76C1ECEA697C}"/>
            </c:ext>
          </c:extLst>
        </c:ser>
        <c:ser>
          <c:idx val="3"/>
          <c:order val="3"/>
          <c:tx>
            <c:strRef>
              <c:f>'sumatoria de desp con cuñas'!$A$6</c:f>
              <c:strCache>
                <c:ptCount val="1"/>
                <c:pt idx="0">
                  <c:v>Perno rotula inferior</c:v>
                </c:pt>
              </c:strCache>
            </c:strRef>
          </c:tx>
          <c:spPr>
            <a:ln w="28575" cap="rnd">
              <a:solidFill>
                <a:schemeClr val="accent4"/>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cuñas'!$B$6:$L$6</c:f>
              <c:numCache>
                <c:formatCode>General</c:formatCode>
                <c:ptCount val="11"/>
                <c:pt idx="0">
                  <c:v>1.5000000000000001E-4</c:v>
                </c:pt>
                <c:pt idx="1">
                  <c:v>3.3E-4</c:v>
                </c:pt>
                <c:pt idx="2">
                  <c:v>7.1000000000000002E-4</c:v>
                </c:pt>
                <c:pt idx="3">
                  <c:v>1.0799999999999998E-3</c:v>
                </c:pt>
                <c:pt idx="4">
                  <c:v>1.4599999999999999E-3</c:v>
                </c:pt>
                <c:pt idx="5">
                  <c:v>1.8299999999999998E-3</c:v>
                </c:pt>
                <c:pt idx="6">
                  <c:v>2.1999999999999997E-3</c:v>
                </c:pt>
                <c:pt idx="7">
                  <c:v>2.5799999999999998E-3</c:v>
                </c:pt>
                <c:pt idx="8">
                  <c:v>2.9499999999999999E-3</c:v>
                </c:pt>
                <c:pt idx="9">
                  <c:v>3.3300000000000001E-3</c:v>
                </c:pt>
                <c:pt idx="10">
                  <c:v>3.6999999999999997E-3</c:v>
                </c:pt>
              </c:numCache>
            </c:numRef>
          </c:val>
          <c:smooth val="0"/>
          <c:extLst>
            <c:ext xmlns:c16="http://schemas.microsoft.com/office/drawing/2014/chart" uri="{C3380CC4-5D6E-409C-BE32-E72D297353CC}">
              <c16:uniqueId val="{0000001E-DB2E-4B10-81DA-76C1ECEA697C}"/>
            </c:ext>
          </c:extLst>
        </c:ser>
        <c:ser>
          <c:idx val="4"/>
          <c:order val="4"/>
          <c:tx>
            <c:strRef>
              <c:f>'sumatoria de desp con cuñas'!$A$7</c:f>
              <c:strCache>
                <c:ptCount val="1"/>
                <c:pt idx="0">
                  <c:v>Travezaño fijo</c:v>
                </c:pt>
              </c:strCache>
            </c:strRef>
          </c:tx>
          <c:spPr>
            <a:ln w="28575" cap="rnd">
              <a:solidFill>
                <a:schemeClr val="accent5"/>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cuñas'!$B$7:$L$7</c:f>
              <c:numCache>
                <c:formatCode>General</c:formatCode>
                <c:ptCount val="11"/>
                <c:pt idx="0">
                  <c:v>3.8100000000000009E-3</c:v>
                </c:pt>
                <c:pt idx="1">
                  <c:v>8.4100000000000008E-3</c:v>
                </c:pt>
                <c:pt idx="2">
                  <c:v>1.6972000000000001E-2</c:v>
                </c:pt>
                <c:pt idx="3">
                  <c:v>2.4508000000000002E-2</c:v>
                </c:pt>
                <c:pt idx="4">
                  <c:v>3.1940000000000003E-2</c:v>
                </c:pt>
                <c:pt idx="5">
                  <c:v>3.9620000000000002E-2</c:v>
                </c:pt>
                <c:pt idx="6">
                  <c:v>4.7390000000000002E-2</c:v>
                </c:pt>
                <c:pt idx="7">
                  <c:v>5.5279999999999996E-2</c:v>
                </c:pt>
                <c:pt idx="8">
                  <c:v>6.3240000000000005E-2</c:v>
                </c:pt>
                <c:pt idx="9">
                  <c:v>7.1529999999999996E-2</c:v>
                </c:pt>
                <c:pt idx="10">
                  <c:v>8.1950000000000009E-2</c:v>
                </c:pt>
              </c:numCache>
            </c:numRef>
          </c:val>
          <c:smooth val="0"/>
          <c:extLst>
            <c:ext xmlns:c16="http://schemas.microsoft.com/office/drawing/2014/chart" uri="{C3380CC4-5D6E-409C-BE32-E72D297353CC}">
              <c16:uniqueId val="{00000020-DB2E-4B10-81DA-76C1ECEA697C}"/>
            </c:ext>
          </c:extLst>
        </c:ser>
        <c:ser>
          <c:idx val="5"/>
          <c:order val="5"/>
          <c:tx>
            <c:strRef>
              <c:f>'sumatoria de desp con cuñas'!$A$8</c:f>
              <c:strCache>
                <c:ptCount val="1"/>
                <c:pt idx="0">
                  <c:v>Tornillo de potencia</c:v>
                </c:pt>
              </c:strCache>
            </c:strRef>
          </c:tx>
          <c:spPr>
            <a:ln w="28575" cap="rnd">
              <a:solidFill>
                <a:schemeClr val="accent6"/>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cuñas'!$B$8:$L$8</c:f>
              <c:numCache>
                <c:formatCode>General</c:formatCode>
                <c:ptCount val="11"/>
                <c:pt idx="0">
                  <c:v>2.1289999999999998E-3</c:v>
                </c:pt>
                <c:pt idx="1">
                  <c:v>4.7789999999999994E-3</c:v>
                </c:pt>
                <c:pt idx="2">
                  <c:v>1.0069E-2</c:v>
                </c:pt>
                <c:pt idx="3">
                  <c:v>1.5369000000000001E-2</c:v>
                </c:pt>
                <c:pt idx="4">
                  <c:v>2.0669E-2</c:v>
                </c:pt>
                <c:pt idx="5">
                  <c:v>2.6068999999999998E-2</c:v>
                </c:pt>
                <c:pt idx="6">
                  <c:v>3.1369000000000001E-2</c:v>
                </c:pt>
                <c:pt idx="7">
                  <c:v>3.6669E-2</c:v>
                </c:pt>
                <c:pt idx="8">
                  <c:v>4.1969000000000006E-2</c:v>
                </c:pt>
                <c:pt idx="9">
                  <c:v>4.7269000000000005E-2</c:v>
                </c:pt>
                <c:pt idx="10">
                  <c:v>5.2569000000000005E-2</c:v>
                </c:pt>
              </c:numCache>
            </c:numRef>
          </c:val>
          <c:smooth val="0"/>
          <c:extLst>
            <c:ext xmlns:c16="http://schemas.microsoft.com/office/drawing/2014/chart" uri="{C3380CC4-5D6E-409C-BE32-E72D297353CC}">
              <c16:uniqueId val="{00000022-DB2E-4B10-81DA-76C1ECEA697C}"/>
            </c:ext>
          </c:extLst>
        </c:ser>
        <c:ser>
          <c:idx val="6"/>
          <c:order val="6"/>
          <c:tx>
            <c:strRef>
              <c:f>'sumatoria de desp con cuñas'!$A$9</c:f>
              <c:strCache>
                <c:ptCount val="1"/>
                <c:pt idx="0">
                  <c:v>Tuerca de potencia</c:v>
                </c:pt>
              </c:strCache>
            </c:strRef>
          </c:tx>
          <c:spPr>
            <a:ln w="28575" cap="rnd">
              <a:solidFill>
                <a:schemeClr val="accent1">
                  <a:lumMod val="60000"/>
                </a:schemeClr>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cuñas'!$B$9:$L$9</c:f>
              <c:numCache>
                <c:formatCode>General</c:formatCode>
                <c:ptCount val="11"/>
                <c:pt idx="0">
                  <c:v>2.3670000000000002E-5</c:v>
                </c:pt>
                <c:pt idx="1">
                  <c:v>5.8706999999999997E-4</c:v>
                </c:pt>
                <c:pt idx="2">
                  <c:v>1.1307E-4</c:v>
                </c:pt>
                <c:pt idx="3">
                  <c:v>1.7207E-4</c:v>
                </c:pt>
                <c:pt idx="4">
                  <c:v>2.3107E-4</c:v>
                </c:pt>
                <c:pt idx="5">
                  <c:v>2.9006999999999997E-4</c:v>
                </c:pt>
                <c:pt idx="6">
                  <c:v>3.5006999999999996E-4</c:v>
                </c:pt>
                <c:pt idx="7">
                  <c:v>4.0906999999999998E-4</c:v>
                </c:pt>
                <c:pt idx="8">
                  <c:v>4.6806999999999996E-4</c:v>
                </c:pt>
                <c:pt idx="9">
                  <c:v>5.2806999999999995E-4</c:v>
                </c:pt>
                <c:pt idx="10">
                  <c:v>5.8706999999999997E-4</c:v>
                </c:pt>
              </c:numCache>
            </c:numRef>
          </c:val>
          <c:smooth val="0"/>
          <c:extLst>
            <c:ext xmlns:c16="http://schemas.microsoft.com/office/drawing/2014/chart" uri="{C3380CC4-5D6E-409C-BE32-E72D297353CC}">
              <c16:uniqueId val="{00000024-DB2E-4B10-81DA-76C1ECEA697C}"/>
            </c:ext>
          </c:extLst>
        </c:ser>
        <c:ser>
          <c:idx val="7"/>
          <c:order val="7"/>
          <c:tx>
            <c:strRef>
              <c:f>'sumatoria de desp con cuñas'!$A$10</c:f>
              <c:strCache>
                <c:ptCount val="1"/>
                <c:pt idx="0">
                  <c:v>Travezaño movil</c:v>
                </c:pt>
              </c:strCache>
            </c:strRef>
          </c:tx>
          <c:spPr>
            <a:ln w="28575" cap="rnd">
              <a:solidFill>
                <a:schemeClr val="accent2">
                  <a:lumMod val="60000"/>
                </a:schemeClr>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cuñas'!$B$10:$L$10</c:f>
              <c:numCache>
                <c:formatCode>General</c:formatCode>
                <c:ptCount val="11"/>
                <c:pt idx="0">
                  <c:v>2.0400000000000001E-3</c:v>
                </c:pt>
                <c:pt idx="1">
                  <c:v>4.6500000000000014E-3</c:v>
                </c:pt>
                <c:pt idx="2">
                  <c:v>1.0002E-2</c:v>
                </c:pt>
                <c:pt idx="3">
                  <c:v>1.5471E-2</c:v>
                </c:pt>
                <c:pt idx="4">
                  <c:v>2.1101000000000002E-2</c:v>
                </c:pt>
                <c:pt idx="5">
                  <c:v>2.6918999999999998E-2</c:v>
                </c:pt>
                <c:pt idx="6">
                  <c:v>3.2780000000000004E-2</c:v>
                </c:pt>
                <c:pt idx="7">
                  <c:v>3.8699999999999998E-2</c:v>
                </c:pt>
                <c:pt idx="8">
                  <c:v>4.4609999999999997E-2</c:v>
                </c:pt>
                <c:pt idx="9">
                  <c:v>5.058E-2</c:v>
                </c:pt>
                <c:pt idx="10">
                  <c:v>5.663E-2</c:v>
                </c:pt>
              </c:numCache>
            </c:numRef>
          </c:val>
          <c:smooth val="0"/>
          <c:extLst>
            <c:ext xmlns:c16="http://schemas.microsoft.com/office/drawing/2014/chart" uri="{C3380CC4-5D6E-409C-BE32-E72D297353CC}">
              <c16:uniqueId val="{00000026-DB2E-4B10-81DA-76C1ECEA697C}"/>
            </c:ext>
          </c:extLst>
        </c:ser>
        <c:ser>
          <c:idx val="8"/>
          <c:order val="8"/>
          <c:tx>
            <c:strRef>
              <c:f>'sumatoria de desp con cuñas'!$A$11</c:f>
              <c:strCache>
                <c:ptCount val="1"/>
                <c:pt idx="0">
                  <c:v>Perno rotula superior</c:v>
                </c:pt>
              </c:strCache>
            </c:strRef>
          </c:tx>
          <c:spPr>
            <a:ln w="28575" cap="rnd">
              <a:solidFill>
                <a:schemeClr val="accent3">
                  <a:lumMod val="60000"/>
                </a:schemeClr>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cuñas'!$B$11:$L$11</c:f>
              <c:numCache>
                <c:formatCode>General</c:formatCode>
                <c:ptCount val="11"/>
                <c:pt idx="0">
                  <c:v>1.1119999999999999E-4</c:v>
                </c:pt>
                <c:pt idx="1">
                  <c:v>2.5019999999999996E-4</c:v>
                </c:pt>
                <c:pt idx="2">
                  <c:v>5.2819999999999994E-4</c:v>
                </c:pt>
                <c:pt idx="3">
                  <c:v>8.0619999999999997E-4</c:v>
                </c:pt>
                <c:pt idx="4">
                  <c:v>1.0822000000000002E-3</c:v>
                </c:pt>
                <c:pt idx="5">
                  <c:v>1.3622E-3</c:v>
                </c:pt>
                <c:pt idx="6">
                  <c:v>1.6422000000000001E-3</c:v>
                </c:pt>
                <c:pt idx="7">
                  <c:v>1.9222E-3</c:v>
                </c:pt>
                <c:pt idx="8">
                  <c:v>2.0621999999999997E-3</c:v>
                </c:pt>
                <c:pt idx="9">
                  <c:v>2.4721999999999999E-3</c:v>
                </c:pt>
                <c:pt idx="10">
                  <c:v>2.7521999999999998E-3</c:v>
                </c:pt>
              </c:numCache>
            </c:numRef>
          </c:val>
          <c:smooth val="0"/>
          <c:extLst>
            <c:ext xmlns:c16="http://schemas.microsoft.com/office/drawing/2014/chart" uri="{C3380CC4-5D6E-409C-BE32-E72D297353CC}">
              <c16:uniqueId val="{00000028-DB2E-4B10-81DA-76C1ECEA697C}"/>
            </c:ext>
          </c:extLst>
        </c:ser>
        <c:ser>
          <c:idx val="9"/>
          <c:order val="9"/>
          <c:tx>
            <c:strRef>
              <c:f>'sumatoria de desp con cuñas'!$A$12</c:f>
              <c:strCache>
                <c:ptCount val="1"/>
                <c:pt idx="0">
                  <c:v>Rotula Superior</c:v>
                </c:pt>
              </c:strCache>
            </c:strRef>
          </c:tx>
          <c:spPr>
            <a:ln w="28575" cap="rnd">
              <a:solidFill>
                <a:schemeClr val="accent4">
                  <a:lumMod val="60000"/>
                </a:schemeClr>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cuñas'!$B$12:$L$12</c:f>
              <c:numCache>
                <c:formatCode>General</c:formatCode>
                <c:ptCount val="11"/>
                <c:pt idx="0">
                  <c:v>8.3099999999999992E-4</c:v>
                </c:pt>
                <c:pt idx="1">
                  <c:v>1.8809999999999999E-3</c:v>
                </c:pt>
                <c:pt idx="2">
                  <c:v>3.9709999999999997E-3</c:v>
                </c:pt>
                <c:pt idx="3">
                  <c:v>6.0610000000000004E-3</c:v>
                </c:pt>
                <c:pt idx="4">
                  <c:v>8.1509999999999985E-3</c:v>
                </c:pt>
                <c:pt idx="5">
                  <c:v>1.0190999999999999E-2</c:v>
                </c:pt>
                <c:pt idx="6">
                  <c:v>1.2291E-2</c:v>
                </c:pt>
                <c:pt idx="7">
                  <c:v>1.4390999999999999E-2</c:v>
                </c:pt>
                <c:pt idx="8">
                  <c:v>1.6490999999999999E-2</c:v>
                </c:pt>
                <c:pt idx="9">
                  <c:v>1.8591E-2</c:v>
                </c:pt>
                <c:pt idx="10">
                  <c:v>2.0690999999999998E-2</c:v>
                </c:pt>
              </c:numCache>
            </c:numRef>
          </c:val>
          <c:smooth val="0"/>
          <c:extLst>
            <c:ext xmlns:c16="http://schemas.microsoft.com/office/drawing/2014/chart" uri="{C3380CC4-5D6E-409C-BE32-E72D297353CC}">
              <c16:uniqueId val="{0000002A-DB2E-4B10-81DA-76C1ECEA697C}"/>
            </c:ext>
          </c:extLst>
        </c:ser>
        <c:ser>
          <c:idx val="10"/>
          <c:order val="10"/>
          <c:tx>
            <c:strRef>
              <c:f>'sumatoria de desp con cuñas'!$A$13</c:f>
              <c:strCache>
                <c:ptCount val="1"/>
                <c:pt idx="0">
                  <c:v>Celda de carga</c:v>
                </c:pt>
              </c:strCache>
            </c:strRef>
          </c:tx>
          <c:spPr>
            <a:ln w="28575" cap="rnd">
              <a:solidFill>
                <a:schemeClr val="accent5">
                  <a:lumMod val="60000"/>
                </a:schemeClr>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cuñas'!$B$13:$L$13</c:f>
              <c:numCache>
                <c:formatCode>General</c:formatCode>
                <c:ptCount val="11"/>
                <c:pt idx="0">
                  <c:v>1.1033000000000001E-2</c:v>
                </c:pt>
                <c:pt idx="1">
                  <c:v>2.4813000000000002E-2</c:v>
                </c:pt>
                <c:pt idx="2">
                  <c:v>5.2392999999999995E-2</c:v>
                </c:pt>
                <c:pt idx="3">
                  <c:v>7.9963000000000006E-2</c:v>
                </c:pt>
                <c:pt idx="4">
                  <c:v>0.107543</c:v>
                </c:pt>
                <c:pt idx="5">
                  <c:v>0.13514299999999999</c:v>
                </c:pt>
                <c:pt idx="6">
                  <c:v>0.16264299999999998</c:v>
                </c:pt>
                <c:pt idx="7">
                  <c:v>0.190243</c:v>
                </c:pt>
                <c:pt idx="8">
                  <c:v>0.21784299999999998</c:v>
                </c:pt>
                <c:pt idx="9">
                  <c:v>0.24544299999999999</c:v>
                </c:pt>
                <c:pt idx="10">
                  <c:v>0.27294299999999999</c:v>
                </c:pt>
              </c:numCache>
            </c:numRef>
          </c:val>
          <c:smooth val="0"/>
          <c:extLst>
            <c:ext xmlns:c16="http://schemas.microsoft.com/office/drawing/2014/chart" uri="{C3380CC4-5D6E-409C-BE32-E72D297353CC}">
              <c16:uniqueId val="{0000002C-DB2E-4B10-81DA-76C1ECEA697C}"/>
            </c:ext>
          </c:extLst>
        </c:ser>
        <c:ser>
          <c:idx val="11"/>
          <c:order val="11"/>
          <c:tx>
            <c:strRef>
              <c:f>'sumatoria de desp con cuñas'!$A$14</c:f>
              <c:strCache>
                <c:ptCount val="1"/>
                <c:pt idx="0">
                  <c:v>Perno de unión mordaza</c:v>
                </c:pt>
              </c:strCache>
            </c:strRef>
          </c:tx>
          <c:spPr>
            <a:ln w="28575" cap="rnd">
              <a:solidFill>
                <a:schemeClr val="accent6">
                  <a:lumMod val="60000"/>
                </a:schemeClr>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cuñas'!$B$14:$L$14</c:f>
              <c:numCache>
                <c:formatCode>General</c:formatCode>
                <c:ptCount val="11"/>
                <c:pt idx="0">
                  <c:v>4.999999999999999E-4</c:v>
                </c:pt>
                <c:pt idx="1">
                  <c:v>1E-3</c:v>
                </c:pt>
                <c:pt idx="2">
                  <c:v>2.1000000000000003E-3</c:v>
                </c:pt>
                <c:pt idx="3">
                  <c:v>3.2000000000000002E-3</c:v>
                </c:pt>
                <c:pt idx="4">
                  <c:v>4.3999999999999994E-3</c:v>
                </c:pt>
                <c:pt idx="5">
                  <c:v>5.4999999999999997E-3</c:v>
                </c:pt>
                <c:pt idx="6">
                  <c:v>6.6E-3</c:v>
                </c:pt>
                <c:pt idx="7">
                  <c:v>7.6999999999999994E-3</c:v>
                </c:pt>
                <c:pt idx="8">
                  <c:v>8.8000000000000005E-3</c:v>
                </c:pt>
                <c:pt idx="9">
                  <c:v>9.9000000000000008E-3</c:v>
                </c:pt>
                <c:pt idx="10">
                  <c:v>1.1000000000000001E-2</c:v>
                </c:pt>
              </c:numCache>
            </c:numRef>
          </c:val>
          <c:smooth val="0"/>
          <c:extLst>
            <c:ext xmlns:c16="http://schemas.microsoft.com/office/drawing/2014/chart" uri="{C3380CC4-5D6E-409C-BE32-E72D297353CC}">
              <c16:uniqueId val="{0000002E-DB2E-4B10-81DA-76C1ECEA697C}"/>
            </c:ext>
          </c:extLst>
        </c:ser>
        <c:ser>
          <c:idx val="12"/>
          <c:order val="12"/>
          <c:tx>
            <c:strRef>
              <c:f>'sumatoria de desp con cuñas'!$A$15</c:f>
              <c:strCache>
                <c:ptCount val="1"/>
                <c:pt idx="0">
                  <c:v>Conjunto mordaza superior con cuñas</c:v>
                </c:pt>
              </c:strCache>
            </c:strRef>
          </c:tx>
          <c:spPr>
            <a:ln w="28575" cap="rnd">
              <a:solidFill>
                <a:schemeClr val="accent1">
                  <a:lumMod val="80000"/>
                  <a:lumOff val="20000"/>
                </a:schemeClr>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cuñas'!$B$15:$L$15</c:f>
              <c:numCache>
                <c:formatCode>General</c:formatCode>
                <c:ptCount val="11"/>
                <c:pt idx="0">
                  <c:v>2.6725000000000002E-2</c:v>
                </c:pt>
                <c:pt idx="1">
                  <c:v>5.9435000000000002E-2</c:v>
                </c:pt>
                <c:pt idx="2">
                  <c:v>0.12751500000000002</c:v>
                </c:pt>
                <c:pt idx="3">
                  <c:v>0.217115</c:v>
                </c:pt>
                <c:pt idx="4">
                  <c:v>0.293715</c:v>
                </c:pt>
                <c:pt idx="5">
                  <c:v>0.31921500000000003</c:v>
                </c:pt>
                <c:pt idx="6">
                  <c:v>0.38441500000000001</c:v>
                </c:pt>
                <c:pt idx="7">
                  <c:v>0.44971499999999998</c:v>
                </c:pt>
                <c:pt idx="8">
                  <c:v>0.56771499999999997</c:v>
                </c:pt>
                <c:pt idx="9">
                  <c:v>0.64141499999999996</c:v>
                </c:pt>
                <c:pt idx="10">
                  <c:v>0.71571499999999999</c:v>
                </c:pt>
              </c:numCache>
            </c:numRef>
          </c:val>
          <c:smooth val="0"/>
          <c:extLst>
            <c:ext xmlns:c16="http://schemas.microsoft.com/office/drawing/2014/chart" uri="{C3380CC4-5D6E-409C-BE32-E72D297353CC}">
              <c16:uniqueId val="{00000030-DB2E-4B10-81DA-76C1ECEA697C}"/>
            </c:ext>
          </c:extLst>
        </c:ser>
        <c:ser>
          <c:idx val="13"/>
          <c:order val="13"/>
          <c:tx>
            <c:strRef>
              <c:f>'sumatoria de desp con cuñas'!$A$16</c:f>
              <c:strCache>
                <c:ptCount val="1"/>
                <c:pt idx="0">
                  <c:v>Desplazamiento Neto total[mm]</c:v>
                </c:pt>
              </c:strCache>
            </c:strRef>
          </c:tx>
          <c:spPr>
            <a:ln w="28575" cap="rnd">
              <a:solidFill>
                <a:schemeClr val="accent2">
                  <a:lumMod val="80000"/>
                  <a:lumOff val="20000"/>
                </a:schemeClr>
              </a:solidFill>
              <a:round/>
            </a:ln>
            <a:effectLst/>
          </c:spPr>
          <c:marker>
            <c:symbol val="none"/>
          </c:marker>
          <c:cat>
            <c:numRef>
              <c:f>'sumatoria de desp con cuñas'!$B$2:$L$2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 con cuñas'!$B$16:$L$16</c:f>
              <c:numCache>
                <c:formatCode>General</c:formatCode>
                <c:ptCount val="11"/>
                <c:pt idx="0">
                  <c:v>7.5408870000000003E-2</c:v>
                </c:pt>
                <c:pt idx="1">
                  <c:v>0.16845127000000001</c:v>
                </c:pt>
                <c:pt idx="2">
                  <c:v>0.35795927000000005</c:v>
                </c:pt>
                <c:pt idx="3">
                  <c:v>0.59012127000000003</c:v>
                </c:pt>
                <c:pt idx="4">
                  <c:v>0.79655827000000001</c:v>
                </c:pt>
                <c:pt idx="5">
                  <c:v>0.9010452699999999</c:v>
                </c:pt>
                <c:pt idx="6">
                  <c:v>1.0849862700000001</c:v>
                </c:pt>
                <c:pt idx="7">
                  <c:v>1.2694152700000001</c:v>
                </c:pt>
                <c:pt idx="8">
                  <c:v>1.5591542700000001</c:v>
                </c:pt>
                <c:pt idx="9">
                  <c:v>1.7609642700000001</c:v>
                </c:pt>
                <c:pt idx="10">
                  <c:v>1.9659432699999999</c:v>
                </c:pt>
              </c:numCache>
            </c:numRef>
          </c:val>
          <c:smooth val="0"/>
          <c:extLst>
            <c:ext xmlns:c16="http://schemas.microsoft.com/office/drawing/2014/chart" uri="{C3380CC4-5D6E-409C-BE32-E72D297353CC}">
              <c16:uniqueId val="{00000032-DB2E-4B10-81DA-76C1ECEA697C}"/>
            </c:ext>
          </c:extLst>
        </c:ser>
        <c:dLbls>
          <c:showLegendKey val="0"/>
          <c:showVal val="0"/>
          <c:showCatName val="0"/>
          <c:showSerName val="0"/>
          <c:showPercent val="0"/>
          <c:showBubbleSize val="0"/>
        </c:dLbls>
        <c:smooth val="0"/>
        <c:axId val="732818952"/>
        <c:axId val="732822024"/>
      </c:lineChart>
      <c:catAx>
        <c:axId val="7328189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22024"/>
        <c:crosses val="autoZero"/>
        <c:auto val="1"/>
        <c:lblAlgn val="ctr"/>
        <c:lblOffset val="100"/>
        <c:noMultiLvlLbl val="0"/>
      </c:catAx>
      <c:valAx>
        <c:axId val="732822024"/>
        <c:scaling>
          <c:orientation val="minMax"/>
          <c:max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in"/>
        <c:minorTickMark val="in"/>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18952"/>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b="1"/>
              <a:t>Desplazamiento</a:t>
            </a:r>
            <a:r>
              <a:rPr lang="es-AR" b="1" baseline="0"/>
              <a:t> Total de la máquina y de sus componentes</a:t>
            </a:r>
            <a:endParaRPr lang="es-A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4.2965354938271604E-2"/>
          <c:y val="3.8246970868780615E-2"/>
          <c:w val="0.95703464506172842"/>
          <c:h val="0.8192201277016038"/>
        </c:manualLayout>
      </c:layout>
      <c:lineChart>
        <c:grouping val="standard"/>
        <c:varyColors val="0"/>
        <c:ser>
          <c:idx val="0"/>
          <c:order val="0"/>
          <c:tx>
            <c:strRef>
              <c:f>'sumatoria de desplazamiento'!$B$4</c:f>
              <c:strCache>
                <c:ptCount val="1"/>
                <c:pt idx="0">
                  <c:v>Conjunto mordaza [1]</c:v>
                </c:pt>
              </c:strCache>
            </c:strRef>
          </c:tx>
          <c:spPr>
            <a:ln w="28575" cap="rnd">
              <a:solidFill>
                <a:schemeClr val="accent1"/>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desplazamiento'!$C$4:$M$4</c:f>
              <c:numCache>
                <c:formatCode>0.0000</c:formatCode>
                <c:ptCount val="11"/>
                <c:pt idx="0">
                  <c:v>2.7878E-3</c:v>
                </c:pt>
                <c:pt idx="1">
                  <c:v>6.0567999999999993E-3</c:v>
                </c:pt>
                <c:pt idx="2">
                  <c:v>1.29228E-2</c:v>
                </c:pt>
                <c:pt idx="3">
                  <c:v>2.2742800000000001E-2</c:v>
                </c:pt>
                <c:pt idx="4">
                  <c:v>3.0912800000000001E-2</c:v>
                </c:pt>
                <c:pt idx="5">
                  <c:v>3.4322800000000001E-2</c:v>
                </c:pt>
                <c:pt idx="6">
                  <c:v>4.1312799999999997E-2</c:v>
                </c:pt>
                <c:pt idx="7">
                  <c:v>4.83028E-2</c:v>
                </c:pt>
                <c:pt idx="8">
                  <c:v>5.6942799999999995E-2</c:v>
                </c:pt>
                <c:pt idx="9">
                  <c:v>6.4232800000000007E-2</c:v>
                </c:pt>
                <c:pt idx="10">
                  <c:v>7.15528E-2</c:v>
                </c:pt>
              </c:numCache>
            </c:numRef>
          </c:val>
          <c:smooth val="0"/>
          <c:extLst>
            <c:ext xmlns:c16="http://schemas.microsoft.com/office/drawing/2014/chart" uri="{C3380CC4-5D6E-409C-BE32-E72D297353CC}">
              <c16:uniqueId val="{00000000-D152-466F-B145-E717260E828F}"/>
            </c:ext>
          </c:extLst>
        </c:ser>
        <c:ser>
          <c:idx val="16"/>
          <c:order val="1"/>
          <c:tx>
            <c:strRef>
              <c:f>'sumatoria de desplazamiento'!$B$5</c:f>
              <c:strCache>
                <c:ptCount val="1"/>
                <c:pt idx="0">
                  <c:v>Pasador mordaza [2]</c:v>
                </c:pt>
              </c:strCache>
            </c:strRef>
          </c:tx>
          <c:spPr>
            <a:ln w="28575" cap="rnd">
              <a:solidFill>
                <a:schemeClr val="accent5">
                  <a:lumMod val="80000"/>
                  <a:lumOff val="20000"/>
                </a:schemeClr>
              </a:solidFill>
              <a:round/>
            </a:ln>
            <a:effectLst/>
          </c:spPr>
          <c:marker>
            <c:symbol val="none"/>
          </c:marker>
          <c:val>
            <c:numRef>
              <c:f>'sumatoria de desplazamiento'!$C$5:$M$5</c:f>
              <c:numCache>
                <c:formatCode>0.0000</c:formatCode>
                <c:ptCount val="11"/>
                <c:pt idx="0">
                  <c:v>0</c:v>
                </c:pt>
                <c:pt idx="1">
                  <c:v>0</c:v>
                </c:pt>
                <c:pt idx="2">
                  <c:v>0</c:v>
                </c:pt>
                <c:pt idx="3">
                  <c:v>2.9E-5</c:v>
                </c:pt>
                <c:pt idx="4">
                  <c:v>3.8000000000000002E-4</c:v>
                </c:pt>
                <c:pt idx="5">
                  <c:v>4.7999999999999996E-3</c:v>
                </c:pt>
                <c:pt idx="6">
                  <c:v>5.7999999999999996E-3</c:v>
                </c:pt>
                <c:pt idx="7">
                  <c:v>6.7000000000000002E-3</c:v>
                </c:pt>
                <c:pt idx="8">
                  <c:v>7.7000000000000002E-3</c:v>
                </c:pt>
                <c:pt idx="9">
                  <c:v>8.6E-3</c:v>
                </c:pt>
                <c:pt idx="10">
                  <c:v>9.5999999999999992E-3</c:v>
                </c:pt>
              </c:numCache>
            </c:numRef>
          </c:val>
          <c:smooth val="0"/>
          <c:extLst>
            <c:ext xmlns:c16="http://schemas.microsoft.com/office/drawing/2014/chart" uri="{C3380CC4-5D6E-409C-BE32-E72D297353CC}">
              <c16:uniqueId val="{00000000-D9B6-4898-A5A0-26A6F1352186}"/>
            </c:ext>
          </c:extLst>
        </c:ser>
        <c:ser>
          <c:idx val="1"/>
          <c:order val="2"/>
          <c:tx>
            <c:strRef>
              <c:f>'sumatoria de desplazamiento'!$B$6</c:f>
              <c:strCache>
                <c:ptCount val="1"/>
                <c:pt idx="0">
                  <c:v>Perno de unión mordaza [3]</c:v>
                </c:pt>
              </c:strCache>
            </c:strRef>
          </c:tx>
          <c:spPr>
            <a:ln w="28575" cap="rnd">
              <a:solidFill>
                <a:schemeClr val="accent2"/>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desplazamiento'!$C$6:$M$6</c:f>
              <c:numCache>
                <c:formatCode>0.0000</c:formatCode>
                <c:ptCount val="11"/>
                <c:pt idx="0">
                  <c:v>4.999999999999999E-4</c:v>
                </c:pt>
                <c:pt idx="1">
                  <c:v>1E-3</c:v>
                </c:pt>
                <c:pt idx="2">
                  <c:v>2.1000000000000003E-3</c:v>
                </c:pt>
                <c:pt idx="3">
                  <c:v>3.2000000000000002E-3</c:v>
                </c:pt>
                <c:pt idx="4">
                  <c:v>4.3999999999999994E-3</c:v>
                </c:pt>
                <c:pt idx="5">
                  <c:v>5.4999999999999997E-3</c:v>
                </c:pt>
                <c:pt idx="6">
                  <c:v>6.6E-3</c:v>
                </c:pt>
                <c:pt idx="7">
                  <c:v>7.6999999999999994E-3</c:v>
                </c:pt>
                <c:pt idx="8">
                  <c:v>8.8000000000000005E-3</c:v>
                </c:pt>
                <c:pt idx="9">
                  <c:v>9.9000000000000008E-3</c:v>
                </c:pt>
                <c:pt idx="10">
                  <c:v>1.1000000000000001E-2</c:v>
                </c:pt>
              </c:numCache>
            </c:numRef>
          </c:val>
          <c:smooth val="0"/>
          <c:extLst>
            <c:ext xmlns:c16="http://schemas.microsoft.com/office/drawing/2014/chart" uri="{C3380CC4-5D6E-409C-BE32-E72D297353CC}">
              <c16:uniqueId val="{00000001-D152-466F-B145-E717260E828F}"/>
            </c:ext>
          </c:extLst>
        </c:ser>
        <c:ser>
          <c:idx val="2"/>
          <c:order val="3"/>
          <c:tx>
            <c:strRef>
              <c:f>'sumatoria de desplazamiento'!$B$7</c:f>
              <c:strCache>
                <c:ptCount val="1"/>
                <c:pt idx="0">
                  <c:v>Rótula Inferior [4]</c:v>
                </c:pt>
              </c:strCache>
            </c:strRef>
          </c:tx>
          <c:spPr>
            <a:ln w="28575" cap="rnd">
              <a:solidFill>
                <a:schemeClr val="accent3"/>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desplazamiento'!$C$7:$M$7</c:f>
              <c:numCache>
                <c:formatCode>0.0000</c:formatCode>
                <c:ptCount val="11"/>
                <c:pt idx="0">
                  <c:v>8.3099999999999992E-4</c:v>
                </c:pt>
                <c:pt idx="1">
                  <c:v>1.8809999999999999E-3</c:v>
                </c:pt>
                <c:pt idx="2">
                  <c:v>3.9709999999999997E-3</c:v>
                </c:pt>
                <c:pt idx="3">
                  <c:v>6.0610000000000004E-3</c:v>
                </c:pt>
                <c:pt idx="4">
                  <c:v>8.1509999999999985E-3</c:v>
                </c:pt>
                <c:pt idx="5">
                  <c:v>1.0190999999999999E-2</c:v>
                </c:pt>
                <c:pt idx="6">
                  <c:v>1.2291E-2</c:v>
                </c:pt>
                <c:pt idx="7">
                  <c:v>1.4390999999999999E-2</c:v>
                </c:pt>
                <c:pt idx="8">
                  <c:v>1.6490999999999999E-2</c:v>
                </c:pt>
                <c:pt idx="9">
                  <c:v>1.8591E-2</c:v>
                </c:pt>
                <c:pt idx="10">
                  <c:v>2.0690999999999998E-2</c:v>
                </c:pt>
              </c:numCache>
            </c:numRef>
          </c:val>
          <c:smooth val="0"/>
          <c:extLst>
            <c:ext xmlns:c16="http://schemas.microsoft.com/office/drawing/2014/chart" uri="{C3380CC4-5D6E-409C-BE32-E72D297353CC}">
              <c16:uniqueId val="{00000002-D152-466F-B145-E717260E828F}"/>
            </c:ext>
          </c:extLst>
        </c:ser>
        <c:ser>
          <c:idx val="11"/>
          <c:order val="4"/>
          <c:tx>
            <c:strRef>
              <c:f>'sumatoria de desplazamiento'!$B$8</c:f>
              <c:strCache>
                <c:ptCount val="1"/>
                <c:pt idx="0">
                  <c:v>Pasador rótula inferior [5]</c:v>
                </c:pt>
              </c:strCache>
            </c:strRef>
          </c:tx>
          <c:spPr>
            <a:ln w="28575" cap="rnd">
              <a:solidFill>
                <a:schemeClr val="accent6">
                  <a:lumMod val="60000"/>
                </a:schemeClr>
              </a:solidFill>
              <a:round/>
            </a:ln>
            <a:effectLst/>
          </c:spPr>
          <c:marker>
            <c:symbol val="none"/>
          </c:marker>
          <c:val>
            <c:numRef>
              <c:f>'sumatoria de desplazamiento'!$C$8:$M$8</c:f>
              <c:numCache>
                <c:formatCode>0.0000</c:formatCode>
                <c:ptCount val="11"/>
                <c:pt idx="0">
                  <c:v>1.5000000000000001E-4</c:v>
                </c:pt>
                <c:pt idx="1">
                  <c:v>3.3E-4</c:v>
                </c:pt>
                <c:pt idx="2">
                  <c:v>7.1000000000000002E-4</c:v>
                </c:pt>
                <c:pt idx="3">
                  <c:v>1.0799999999999998E-3</c:v>
                </c:pt>
                <c:pt idx="4">
                  <c:v>1.4599999999999999E-3</c:v>
                </c:pt>
                <c:pt idx="5">
                  <c:v>1.8299999999999998E-3</c:v>
                </c:pt>
                <c:pt idx="6">
                  <c:v>2.1999999999999997E-3</c:v>
                </c:pt>
                <c:pt idx="7">
                  <c:v>2.5799999999999998E-3</c:v>
                </c:pt>
                <c:pt idx="8">
                  <c:v>2.9499999999999999E-3</c:v>
                </c:pt>
                <c:pt idx="9">
                  <c:v>3.3300000000000001E-3</c:v>
                </c:pt>
                <c:pt idx="10">
                  <c:v>3.6999999999999997E-3</c:v>
                </c:pt>
              </c:numCache>
            </c:numRef>
          </c:val>
          <c:smooth val="0"/>
          <c:extLst>
            <c:ext xmlns:c16="http://schemas.microsoft.com/office/drawing/2014/chart" uri="{C3380CC4-5D6E-409C-BE32-E72D297353CC}">
              <c16:uniqueId val="{00000000-95E1-4410-B1CE-A4E123008150}"/>
            </c:ext>
          </c:extLst>
        </c:ser>
        <c:ser>
          <c:idx val="4"/>
          <c:order val="5"/>
          <c:tx>
            <c:strRef>
              <c:f>'sumatoria de desplazamiento'!$B$9</c:f>
              <c:strCache>
                <c:ptCount val="1"/>
                <c:pt idx="0">
                  <c:v>Conjunto travezaño fijo [6]</c:v>
                </c:pt>
              </c:strCache>
            </c:strRef>
          </c:tx>
          <c:spPr>
            <a:ln w="28575" cap="rnd">
              <a:solidFill>
                <a:schemeClr val="accent5"/>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desplazamiento'!$C$9:$M$9</c:f>
              <c:numCache>
                <c:formatCode>0.0000</c:formatCode>
                <c:ptCount val="11"/>
                <c:pt idx="0">
                  <c:v>3.8100000000000009E-3</c:v>
                </c:pt>
                <c:pt idx="1">
                  <c:v>8.4100000000000008E-3</c:v>
                </c:pt>
                <c:pt idx="2">
                  <c:v>1.6972000000000001E-2</c:v>
                </c:pt>
                <c:pt idx="3">
                  <c:v>2.4508000000000002E-2</c:v>
                </c:pt>
                <c:pt idx="4">
                  <c:v>3.1940000000000003E-2</c:v>
                </c:pt>
                <c:pt idx="5">
                  <c:v>3.9620000000000002E-2</c:v>
                </c:pt>
                <c:pt idx="6">
                  <c:v>4.7390000000000002E-2</c:v>
                </c:pt>
                <c:pt idx="7">
                  <c:v>5.5279999999999996E-2</c:v>
                </c:pt>
                <c:pt idx="8">
                  <c:v>6.3240000000000005E-2</c:v>
                </c:pt>
                <c:pt idx="9">
                  <c:v>7.1529999999999996E-2</c:v>
                </c:pt>
                <c:pt idx="10">
                  <c:v>8.1950000000000009E-2</c:v>
                </c:pt>
              </c:numCache>
            </c:numRef>
          </c:val>
          <c:smooth val="0"/>
          <c:extLst>
            <c:ext xmlns:c16="http://schemas.microsoft.com/office/drawing/2014/chart" uri="{C3380CC4-5D6E-409C-BE32-E72D297353CC}">
              <c16:uniqueId val="{00000004-D152-466F-B145-E717260E828F}"/>
            </c:ext>
          </c:extLst>
        </c:ser>
        <c:ser>
          <c:idx val="5"/>
          <c:order val="6"/>
          <c:tx>
            <c:strRef>
              <c:f>'sumatoria de desplazamiento'!$B$10</c:f>
              <c:strCache>
                <c:ptCount val="1"/>
                <c:pt idx="0">
                  <c:v>Tornillo de potencia [7]</c:v>
                </c:pt>
              </c:strCache>
            </c:strRef>
          </c:tx>
          <c:spPr>
            <a:ln w="28575" cap="rnd">
              <a:solidFill>
                <a:schemeClr val="accent6"/>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desplazamiento'!$C$10:$M$10</c:f>
              <c:numCache>
                <c:formatCode>0.0000</c:formatCode>
                <c:ptCount val="11"/>
                <c:pt idx="0">
                  <c:v>2.1289999999999998E-3</c:v>
                </c:pt>
                <c:pt idx="1">
                  <c:v>4.7789999999999994E-3</c:v>
                </c:pt>
                <c:pt idx="2">
                  <c:v>1.0069E-2</c:v>
                </c:pt>
                <c:pt idx="3">
                  <c:v>1.5369000000000001E-2</c:v>
                </c:pt>
                <c:pt idx="4">
                  <c:v>2.0669E-2</c:v>
                </c:pt>
                <c:pt idx="5">
                  <c:v>2.6068999999999998E-2</c:v>
                </c:pt>
                <c:pt idx="6">
                  <c:v>3.1369000000000001E-2</c:v>
                </c:pt>
                <c:pt idx="7">
                  <c:v>3.6669E-2</c:v>
                </c:pt>
                <c:pt idx="8">
                  <c:v>4.1969000000000006E-2</c:v>
                </c:pt>
                <c:pt idx="9">
                  <c:v>4.7269000000000005E-2</c:v>
                </c:pt>
                <c:pt idx="10">
                  <c:v>5.2569000000000005E-2</c:v>
                </c:pt>
              </c:numCache>
            </c:numRef>
          </c:val>
          <c:smooth val="0"/>
          <c:extLst>
            <c:ext xmlns:c16="http://schemas.microsoft.com/office/drawing/2014/chart" uri="{C3380CC4-5D6E-409C-BE32-E72D297353CC}">
              <c16:uniqueId val="{00000005-D152-466F-B145-E717260E828F}"/>
            </c:ext>
          </c:extLst>
        </c:ser>
        <c:ser>
          <c:idx val="6"/>
          <c:order val="7"/>
          <c:tx>
            <c:strRef>
              <c:f>'sumatoria de desplazamiento'!$B$11</c:f>
              <c:strCache>
                <c:ptCount val="1"/>
                <c:pt idx="0">
                  <c:v>Tuerca de potencia [8]</c:v>
                </c:pt>
              </c:strCache>
            </c:strRef>
          </c:tx>
          <c:spPr>
            <a:ln w="28575" cap="rnd">
              <a:solidFill>
                <a:schemeClr val="accent1">
                  <a:lumMod val="60000"/>
                </a:schemeClr>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desplazamiento'!$C$11:$M$11</c:f>
              <c:numCache>
                <c:formatCode>0.0000</c:formatCode>
                <c:ptCount val="11"/>
                <c:pt idx="0">
                  <c:v>2.3670000000000002E-5</c:v>
                </c:pt>
                <c:pt idx="1">
                  <c:v>5.8706999999999997E-4</c:v>
                </c:pt>
                <c:pt idx="2">
                  <c:v>1.1307E-4</c:v>
                </c:pt>
                <c:pt idx="3">
                  <c:v>1.7207E-4</c:v>
                </c:pt>
                <c:pt idx="4">
                  <c:v>2.3107E-4</c:v>
                </c:pt>
                <c:pt idx="5">
                  <c:v>2.9006999999999997E-4</c:v>
                </c:pt>
                <c:pt idx="6">
                  <c:v>3.5006999999999996E-4</c:v>
                </c:pt>
                <c:pt idx="7">
                  <c:v>4.0906999999999998E-4</c:v>
                </c:pt>
                <c:pt idx="8">
                  <c:v>4.6806999999999996E-4</c:v>
                </c:pt>
                <c:pt idx="9">
                  <c:v>5.2806999999999995E-4</c:v>
                </c:pt>
                <c:pt idx="10">
                  <c:v>5.8706999999999997E-4</c:v>
                </c:pt>
              </c:numCache>
            </c:numRef>
          </c:val>
          <c:smooth val="0"/>
          <c:extLst>
            <c:ext xmlns:c16="http://schemas.microsoft.com/office/drawing/2014/chart" uri="{C3380CC4-5D6E-409C-BE32-E72D297353CC}">
              <c16:uniqueId val="{00000006-D152-466F-B145-E717260E828F}"/>
            </c:ext>
          </c:extLst>
        </c:ser>
        <c:ser>
          <c:idx val="7"/>
          <c:order val="8"/>
          <c:tx>
            <c:strRef>
              <c:f>'sumatoria de desplazamiento'!$B$12</c:f>
              <c:strCache>
                <c:ptCount val="1"/>
                <c:pt idx="0">
                  <c:v>Conjunto travezaño móvil [9]</c:v>
                </c:pt>
              </c:strCache>
            </c:strRef>
          </c:tx>
          <c:spPr>
            <a:ln w="28575" cap="rnd">
              <a:solidFill>
                <a:schemeClr val="accent2">
                  <a:lumMod val="60000"/>
                </a:schemeClr>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desplazamiento'!$C$12:$M$12</c:f>
              <c:numCache>
                <c:formatCode>0.0000</c:formatCode>
                <c:ptCount val="11"/>
                <c:pt idx="0">
                  <c:v>2.0400000000000001E-3</c:v>
                </c:pt>
                <c:pt idx="1">
                  <c:v>4.6500000000000014E-3</c:v>
                </c:pt>
                <c:pt idx="2">
                  <c:v>1.0002E-2</c:v>
                </c:pt>
                <c:pt idx="3">
                  <c:v>1.5471E-2</c:v>
                </c:pt>
                <c:pt idx="4">
                  <c:v>2.1101000000000002E-2</c:v>
                </c:pt>
                <c:pt idx="5">
                  <c:v>2.6918999999999998E-2</c:v>
                </c:pt>
                <c:pt idx="6">
                  <c:v>3.2780000000000004E-2</c:v>
                </c:pt>
                <c:pt idx="7">
                  <c:v>3.8699999999999998E-2</c:v>
                </c:pt>
                <c:pt idx="8">
                  <c:v>4.4609999999999997E-2</c:v>
                </c:pt>
                <c:pt idx="9">
                  <c:v>5.058E-2</c:v>
                </c:pt>
                <c:pt idx="10">
                  <c:v>5.663E-2</c:v>
                </c:pt>
              </c:numCache>
            </c:numRef>
          </c:val>
          <c:smooth val="0"/>
          <c:extLst>
            <c:ext xmlns:c16="http://schemas.microsoft.com/office/drawing/2014/chart" uri="{C3380CC4-5D6E-409C-BE32-E72D297353CC}">
              <c16:uniqueId val="{00000007-D152-466F-B145-E717260E828F}"/>
            </c:ext>
          </c:extLst>
        </c:ser>
        <c:ser>
          <c:idx val="8"/>
          <c:order val="9"/>
          <c:tx>
            <c:strRef>
              <c:f>'sumatoria de desplazamiento'!$B$13</c:f>
              <c:strCache>
                <c:ptCount val="1"/>
                <c:pt idx="0">
                  <c:v>Pasador rótula superior [10]</c:v>
                </c:pt>
              </c:strCache>
            </c:strRef>
          </c:tx>
          <c:spPr>
            <a:ln w="28575" cap="rnd">
              <a:solidFill>
                <a:schemeClr val="accent3">
                  <a:lumMod val="60000"/>
                </a:schemeClr>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desplazamiento'!$C$13:$M$13</c:f>
              <c:numCache>
                <c:formatCode>0.0000</c:formatCode>
                <c:ptCount val="11"/>
                <c:pt idx="0">
                  <c:v>1.1119999999999999E-4</c:v>
                </c:pt>
                <c:pt idx="1">
                  <c:v>2.5019999999999996E-4</c:v>
                </c:pt>
                <c:pt idx="2">
                  <c:v>5.2819999999999994E-4</c:v>
                </c:pt>
                <c:pt idx="3">
                  <c:v>8.0619999999999997E-4</c:v>
                </c:pt>
                <c:pt idx="4">
                  <c:v>1.0822000000000002E-3</c:v>
                </c:pt>
                <c:pt idx="5">
                  <c:v>1.3622E-3</c:v>
                </c:pt>
                <c:pt idx="6">
                  <c:v>1.6422000000000001E-3</c:v>
                </c:pt>
                <c:pt idx="7">
                  <c:v>1.9222E-3</c:v>
                </c:pt>
                <c:pt idx="8">
                  <c:v>2.0621999999999997E-3</c:v>
                </c:pt>
                <c:pt idx="9">
                  <c:v>2.4721999999999999E-3</c:v>
                </c:pt>
                <c:pt idx="10">
                  <c:v>2.7521999999999998E-3</c:v>
                </c:pt>
              </c:numCache>
            </c:numRef>
          </c:val>
          <c:smooth val="0"/>
          <c:extLst>
            <c:ext xmlns:c16="http://schemas.microsoft.com/office/drawing/2014/chart" uri="{C3380CC4-5D6E-409C-BE32-E72D297353CC}">
              <c16:uniqueId val="{00000008-D152-466F-B145-E717260E828F}"/>
            </c:ext>
          </c:extLst>
        </c:ser>
        <c:ser>
          <c:idx val="13"/>
          <c:order val="11"/>
          <c:tx>
            <c:strRef>
              <c:f>'sumatoria de desplazamiento'!$B$18</c:f>
              <c:strCache>
                <c:ptCount val="1"/>
                <c:pt idx="0">
                  <c:v>DLET [mm]</c:v>
                </c:pt>
              </c:strCache>
            </c:strRef>
          </c:tx>
          <c:spPr>
            <a:ln w="28575" cap="flat" cmpd="sng" algn="ctr">
              <a:solidFill>
                <a:srgbClr val="FF0000"/>
              </a:solidFill>
              <a:prstDash val="dash"/>
              <a:round/>
              <a:headEnd type="none" w="med" len="med"/>
              <a:tailEnd type="none" w="med" len="me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desplazamiento'!$C$18:$M$18</c:f>
              <c:numCache>
                <c:formatCode>0.0000</c:formatCode>
                <c:ptCount val="11"/>
                <c:pt idx="0">
                  <c:v>1.6501470000000001E-2</c:v>
                </c:pt>
                <c:pt idx="1">
                  <c:v>3.6881869999999997E-2</c:v>
                </c:pt>
                <c:pt idx="2">
                  <c:v>7.6381869999999991E-2</c:v>
                </c:pt>
                <c:pt idx="3">
                  <c:v>0.12147186999999998</c:v>
                </c:pt>
                <c:pt idx="4">
                  <c:v>0.16417086999999997</c:v>
                </c:pt>
                <c:pt idx="5">
                  <c:v>0.20139787000000003</c:v>
                </c:pt>
                <c:pt idx="6">
                  <c:v>0.24251887</c:v>
                </c:pt>
                <c:pt idx="7">
                  <c:v>0.28371787000000004</c:v>
                </c:pt>
                <c:pt idx="8">
                  <c:v>0.32823686999999996</c:v>
                </c:pt>
                <c:pt idx="9">
                  <c:v>0.3706168700000001</c:v>
                </c:pt>
                <c:pt idx="10">
                  <c:v>0.41523587000000006</c:v>
                </c:pt>
              </c:numCache>
            </c:numRef>
          </c:val>
          <c:smooth val="0"/>
          <c:extLst>
            <c:ext xmlns:c16="http://schemas.microsoft.com/office/drawing/2014/chart" uri="{C3380CC4-5D6E-409C-BE32-E72D297353CC}">
              <c16:uniqueId val="{0000000D-D152-466F-B145-E717260E828F}"/>
            </c:ext>
          </c:extLst>
        </c:ser>
        <c:ser>
          <c:idx val="3"/>
          <c:order val="12"/>
          <c:tx>
            <c:strRef>
              <c:f>'sumatoria de desplazamiento'!$B$22</c:f>
              <c:strCache>
                <c:ptCount val="1"/>
                <c:pt idx="0">
                  <c:v>Celda de carga [12]</c:v>
                </c:pt>
              </c:strCache>
            </c:strRef>
          </c:tx>
          <c:spPr>
            <a:ln w="28575" cap="rnd" cmpd="sng">
              <a:solidFill>
                <a:srgbClr val="7030A0"/>
              </a:solidFill>
              <a:prstDash val="lgDashDotDot"/>
              <a:round/>
            </a:ln>
            <a:effectLst/>
          </c:spPr>
          <c:marker>
            <c:symbol val="none"/>
          </c:marker>
          <c:val>
            <c:numRef>
              <c:f>'sumatoria de desplazamiento'!$C$22:$M$22</c:f>
              <c:numCache>
                <c:formatCode>General</c:formatCode>
                <c:ptCount val="11"/>
                <c:pt idx="0">
                  <c:v>1.1033000000000001E-2</c:v>
                </c:pt>
                <c:pt idx="1">
                  <c:v>2.4813000000000002E-2</c:v>
                </c:pt>
                <c:pt idx="2">
                  <c:v>5.2392999999999995E-2</c:v>
                </c:pt>
                <c:pt idx="3">
                  <c:v>7.9963000000000006E-2</c:v>
                </c:pt>
                <c:pt idx="4">
                  <c:v>0.107543</c:v>
                </c:pt>
                <c:pt idx="5">
                  <c:v>0.13514299999999999</c:v>
                </c:pt>
                <c:pt idx="6">
                  <c:v>0.16264299999999998</c:v>
                </c:pt>
                <c:pt idx="7">
                  <c:v>0.190243</c:v>
                </c:pt>
                <c:pt idx="8">
                  <c:v>0.21784299999999998</c:v>
                </c:pt>
                <c:pt idx="9">
                  <c:v>0.24544299999999999</c:v>
                </c:pt>
                <c:pt idx="10">
                  <c:v>0.27294299999999999</c:v>
                </c:pt>
              </c:numCache>
            </c:numRef>
          </c:val>
          <c:smooth val="0"/>
          <c:extLst>
            <c:ext xmlns:c16="http://schemas.microsoft.com/office/drawing/2014/chart" uri="{C3380CC4-5D6E-409C-BE32-E72D297353CC}">
              <c16:uniqueId val="{00000067-D9B6-4898-A5A0-26A6F1352186}"/>
            </c:ext>
          </c:extLst>
        </c:ser>
        <c:ser>
          <c:idx val="10"/>
          <c:order val="13"/>
          <c:tx>
            <c:strRef>
              <c:f>'sumatoria de desplazamiento'!$B$24</c:f>
              <c:strCache>
                <c:ptCount val="1"/>
                <c:pt idx="0">
                  <c:v>Probeta deformada 1%</c:v>
                </c:pt>
              </c:strCache>
            </c:strRef>
          </c:tx>
          <c:spPr>
            <a:ln w="28575" cap="rnd">
              <a:solidFill>
                <a:schemeClr val="accent5">
                  <a:lumMod val="60000"/>
                </a:schemeClr>
              </a:solidFill>
              <a:prstDash val="lgDashDot"/>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desplazamiento'!$C$24:$M$24</c:f>
              <c:numCache>
                <c:formatCode>General</c:formatCode>
                <c:ptCount val="11"/>
                <c:pt idx="0">
                  <c:v>0.12091</c:v>
                </c:pt>
                <c:pt idx="1">
                  <c:v>0.12091</c:v>
                </c:pt>
                <c:pt idx="2">
                  <c:v>0.12091</c:v>
                </c:pt>
                <c:pt idx="3">
                  <c:v>0.12091</c:v>
                </c:pt>
                <c:pt idx="4">
                  <c:v>0.12091</c:v>
                </c:pt>
                <c:pt idx="5">
                  <c:v>0.12091</c:v>
                </c:pt>
                <c:pt idx="6">
                  <c:v>0.12091</c:v>
                </c:pt>
                <c:pt idx="7">
                  <c:v>0.12091</c:v>
                </c:pt>
                <c:pt idx="8">
                  <c:v>0.12091</c:v>
                </c:pt>
                <c:pt idx="9">
                  <c:v>0.12091</c:v>
                </c:pt>
                <c:pt idx="10">
                  <c:v>0.12091</c:v>
                </c:pt>
              </c:numCache>
            </c:numRef>
          </c:val>
          <c:smooth val="0"/>
          <c:extLst>
            <c:ext xmlns:c16="http://schemas.microsoft.com/office/drawing/2014/chart" uri="{C3380CC4-5D6E-409C-BE32-E72D297353CC}">
              <c16:uniqueId val="{00000013-D152-466F-B145-E717260E828F}"/>
            </c:ext>
          </c:extLst>
        </c:ser>
        <c:ser>
          <c:idx val="14"/>
          <c:order val="14"/>
          <c:tx>
            <c:strRef>
              <c:f>'sumatoria de desplazamiento'!$B$25</c:f>
              <c:strCache>
                <c:ptCount val="1"/>
                <c:pt idx="0">
                  <c:v>Probeta deformada 2%</c:v>
                </c:pt>
              </c:strCache>
            </c:strRef>
          </c:tx>
          <c:spPr>
            <a:ln w="28575" cap="rnd">
              <a:solidFill>
                <a:schemeClr val="accent3">
                  <a:lumMod val="80000"/>
                  <a:lumOff val="20000"/>
                </a:schemeClr>
              </a:solidFill>
              <a:prstDash val="lgDashDot"/>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desplazamiento'!$C$25:$M$25</c:f>
              <c:numCache>
                <c:formatCode>General</c:formatCode>
                <c:ptCount val="11"/>
                <c:pt idx="0">
                  <c:v>0.24182000000000001</c:v>
                </c:pt>
                <c:pt idx="1">
                  <c:v>0.24182000000000001</c:v>
                </c:pt>
                <c:pt idx="2">
                  <c:v>0.24182000000000001</c:v>
                </c:pt>
                <c:pt idx="3">
                  <c:v>0.24182000000000001</c:v>
                </c:pt>
                <c:pt idx="4">
                  <c:v>0.24182000000000001</c:v>
                </c:pt>
                <c:pt idx="5">
                  <c:v>0.24182000000000001</c:v>
                </c:pt>
                <c:pt idx="6">
                  <c:v>0.24182000000000001</c:v>
                </c:pt>
                <c:pt idx="7">
                  <c:v>0.24182000000000001</c:v>
                </c:pt>
                <c:pt idx="8">
                  <c:v>0.24182000000000001</c:v>
                </c:pt>
                <c:pt idx="9">
                  <c:v>0.24182000000000001</c:v>
                </c:pt>
                <c:pt idx="10">
                  <c:v>0.24182000000000001</c:v>
                </c:pt>
              </c:numCache>
            </c:numRef>
          </c:val>
          <c:smooth val="0"/>
          <c:extLst>
            <c:ext xmlns:c16="http://schemas.microsoft.com/office/drawing/2014/chart" uri="{C3380CC4-5D6E-409C-BE32-E72D297353CC}">
              <c16:uniqueId val="{00000014-D152-466F-B145-E717260E828F}"/>
            </c:ext>
          </c:extLst>
        </c:ser>
        <c:ser>
          <c:idx val="15"/>
          <c:order val="15"/>
          <c:tx>
            <c:strRef>
              <c:f>'sumatoria de desplazamiento'!$B$26</c:f>
              <c:strCache>
                <c:ptCount val="1"/>
                <c:pt idx="0">
                  <c:v>Probeta deformada 3%</c:v>
                </c:pt>
              </c:strCache>
            </c:strRef>
          </c:tx>
          <c:spPr>
            <a:ln w="28575" cap="rnd">
              <a:solidFill>
                <a:schemeClr val="accent4">
                  <a:lumMod val="80000"/>
                  <a:lumOff val="20000"/>
                </a:schemeClr>
              </a:solidFill>
              <a:prstDash val="lgDashDot"/>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desplazamiento'!$C$26:$M$26</c:f>
              <c:numCache>
                <c:formatCode>General</c:formatCode>
                <c:ptCount val="11"/>
                <c:pt idx="0">
                  <c:v>0.36273</c:v>
                </c:pt>
                <c:pt idx="1">
                  <c:v>0.36273</c:v>
                </c:pt>
                <c:pt idx="2">
                  <c:v>0.36273</c:v>
                </c:pt>
                <c:pt idx="3">
                  <c:v>0.36273</c:v>
                </c:pt>
                <c:pt idx="4">
                  <c:v>0.36273</c:v>
                </c:pt>
                <c:pt idx="5">
                  <c:v>0.36273</c:v>
                </c:pt>
                <c:pt idx="6">
                  <c:v>0.36273</c:v>
                </c:pt>
                <c:pt idx="7">
                  <c:v>0.36273</c:v>
                </c:pt>
                <c:pt idx="8">
                  <c:v>0.36273</c:v>
                </c:pt>
                <c:pt idx="9">
                  <c:v>0.36273</c:v>
                </c:pt>
                <c:pt idx="10">
                  <c:v>0.36273</c:v>
                </c:pt>
              </c:numCache>
            </c:numRef>
          </c:val>
          <c:smooth val="0"/>
          <c:extLst>
            <c:ext xmlns:c16="http://schemas.microsoft.com/office/drawing/2014/chart" uri="{C3380CC4-5D6E-409C-BE32-E72D297353CC}">
              <c16:uniqueId val="{00000015-D152-466F-B145-E717260E828F}"/>
            </c:ext>
          </c:extLst>
        </c:ser>
        <c:dLbls>
          <c:showLegendKey val="0"/>
          <c:showVal val="0"/>
          <c:showCatName val="0"/>
          <c:showSerName val="0"/>
          <c:showPercent val="0"/>
          <c:showBubbleSize val="0"/>
        </c:dLbls>
        <c:smooth val="0"/>
        <c:axId val="732818952"/>
        <c:axId val="732822024"/>
        <c:extLst>
          <c:ext xmlns:c15="http://schemas.microsoft.com/office/drawing/2012/chart" uri="{02D57815-91ED-43cb-92C2-25804820EDAC}">
            <c15:filteredLineSeries>
              <c15:ser>
                <c:idx val="9"/>
                <c:order val="10"/>
                <c:tx>
                  <c:strRef>
                    <c:extLst>
                      <c:ext uri="{02D57815-91ED-43cb-92C2-25804820EDAC}">
                        <c15:formulaRef>
                          <c15:sqref>'sumatoria de desplazamiento'!$B$14</c15:sqref>
                        </c15:formulaRef>
                      </c:ext>
                    </c:extLst>
                    <c:strCache>
                      <c:ptCount val="1"/>
                      <c:pt idx="0">
                        <c:v>Rótula Superior [11]</c:v>
                      </c:pt>
                    </c:strCache>
                  </c:strRef>
                </c:tx>
                <c:spPr>
                  <a:ln w="28575" cap="rnd">
                    <a:solidFill>
                      <a:schemeClr val="accent4">
                        <a:lumMod val="60000"/>
                      </a:schemeClr>
                    </a:solidFill>
                    <a:round/>
                  </a:ln>
                  <a:effectLst/>
                </c:spPr>
                <c:marker>
                  <c:symbol val="none"/>
                </c:marker>
                <c:cat>
                  <c:numRef>
                    <c:extLst>
                      <c:ext uri="{02D57815-91ED-43cb-92C2-25804820EDAC}">
                        <c15:formulaRef>
                          <c15:sqref>'sumatoria de desplazamiento'!$C$3:$M$3</c15:sqref>
                        </c15:formulaRef>
                      </c:ext>
                    </c:extLst>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extLst>
                      <c:ext uri="{02D57815-91ED-43cb-92C2-25804820EDAC}">
                        <c15:formulaRef>
                          <c15:sqref>'sumatoria de desplazamiento'!$C$14:$M$14</c15:sqref>
                        </c15:formulaRef>
                      </c:ext>
                    </c:extLst>
                    <c:numCache>
                      <c:formatCode>0.0000</c:formatCode>
                      <c:ptCount val="11"/>
                      <c:pt idx="0">
                        <c:v>8.3099999999999992E-4</c:v>
                      </c:pt>
                      <c:pt idx="1">
                        <c:v>1.8809999999999999E-3</c:v>
                      </c:pt>
                      <c:pt idx="2">
                        <c:v>3.9709999999999997E-3</c:v>
                      </c:pt>
                      <c:pt idx="3">
                        <c:v>6.0610000000000004E-3</c:v>
                      </c:pt>
                      <c:pt idx="4">
                        <c:v>8.1509999999999985E-3</c:v>
                      </c:pt>
                      <c:pt idx="5">
                        <c:v>1.0190999999999999E-2</c:v>
                      </c:pt>
                      <c:pt idx="6">
                        <c:v>1.2291E-2</c:v>
                      </c:pt>
                      <c:pt idx="7">
                        <c:v>1.4390999999999999E-2</c:v>
                      </c:pt>
                      <c:pt idx="8">
                        <c:v>1.6490999999999999E-2</c:v>
                      </c:pt>
                      <c:pt idx="9">
                        <c:v>1.8591E-2</c:v>
                      </c:pt>
                      <c:pt idx="10">
                        <c:v>2.0690999999999998E-2</c:v>
                      </c:pt>
                    </c:numCache>
                  </c:numRef>
                </c:val>
                <c:smooth val="0"/>
                <c:extLst>
                  <c:ext xmlns:c16="http://schemas.microsoft.com/office/drawing/2014/chart" uri="{C3380CC4-5D6E-409C-BE32-E72D297353CC}">
                    <c16:uniqueId val="{00000009-D152-466F-B145-E717260E828F}"/>
                  </c:ext>
                </c:extLst>
              </c15:ser>
            </c15:filteredLineSeries>
          </c:ext>
        </c:extLst>
      </c:lineChart>
      <c:catAx>
        <c:axId val="732818952"/>
        <c:scaling>
          <c:orientation val="minMax"/>
        </c:scaling>
        <c:delete val="0"/>
        <c:axPos val="b"/>
        <c:majorGridlines>
          <c:spPr>
            <a:ln w="6350" cap="flat" cmpd="sng" algn="ctr">
              <a:solidFill>
                <a:schemeClr val="bg1">
                  <a:lumMod val="95000"/>
                </a:schemeClr>
              </a:solidFill>
              <a:round/>
            </a:ln>
            <a:effectLst/>
          </c:spPr>
        </c:majorGridlines>
        <c:minorGridlines>
          <c:spPr>
            <a:ln w="9525" cap="flat" cmpd="sng" algn="ctr">
              <a:solidFill>
                <a:schemeClr val="bg1">
                  <a:lumMod val="7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sz="1000" b="1" i="0" u="none" strike="noStrike" kern="1200" baseline="0">
                    <a:solidFill>
                      <a:sysClr val="windowText" lastClr="000000">
                        <a:lumMod val="65000"/>
                        <a:lumOff val="35000"/>
                      </a:sysClr>
                    </a:solidFill>
                  </a:rPr>
                  <a:t>Fuerza de tensión en [kN]</a:t>
                </a:r>
              </a:p>
            </c:rich>
          </c:tx>
          <c:layout>
            <c:manualLayout>
              <c:xMode val="edge"/>
              <c:yMode val="edge"/>
              <c:x val="0.46523990046970365"/>
              <c:y val="0.87735062528948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22024"/>
        <c:crosses val="autoZero"/>
        <c:auto val="1"/>
        <c:lblAlgn val="ctr"/>
        <c:lblOffset val="100"/>
        <c:noMultiLvlLbl val="0"/>
      </c:catAx>
      <c:valAx>
        <c:axId val="732822024"/>
        <c:scaling>
          <c:orientation val="minMax"/>
          <c:max val="0.43000000000000005"/>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sz="1000" b="1" i="0" u="none" strike="noStrike" kern="1200" baseline="0">
                    <a:solidFill>
                      <a:sysClr val="windowText" lastClr="000000">
                        <a:lumMod val="65000"/>
                        <a:lumOff val="35000"/>
                      </a:sysClr>
                    </a:solidFill>
                  </a:rPr>
                  <a:t>Desplazamiento longitudinal [mm]</a:t>
                </a:r>
              </a:p>
            </c:rich>
          </c:tx>
          <c:layout>
            <c:manualLayout>
              <c:xMode val="edge"/>
              <c:yMode val="edge"/>
              <c:x val="2.808256172839506E-3"/>
              <c:y val="0.410882259207158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00" sourceLinked="0"/>
        <c:majorTickMark val="in"/>
        <c:minorTickMark val="in"/>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18952"/>
        <c:crosses val="autoZero"/>
        <c:crossBetween val="between"/>
        <c:majorUnit val="5.000000000000001E-2"/>
      </c:valAx>
      <c:spPr>
        <a:noFill/>
        <a:ln>
          <a:noFill/>
        </a:ln>
        <a:effectLst/>
      </c:spPr>
    </c:plotArea>
    <c:legend>
      <c:legendPos val="b"/>
      <c:layout>
        <c:manualLayout>
          <c:xMode val="edge"/>
          <c:yMode val="edge"/>
          <c:x val="1.5176717363408795E-2"/>
          <c:y val="0.94130370689965126"/>
          <c:w val="0.85528754699290488"/>
          <c:h val="5.278039680978637E-2"/>
        </c:manualLayout>
      </c:layout>
      <c:overlay val="0"/>
      <c:spPr>
        <a:solidFill>
          <a:schemeClr val="bg1"/>
        </a:solid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solidFill>
                  <a:sysClr val="windowText" lastClr="000000"/>
                </a:solidFill>
              </a:rPr>
              <a:t>Rigidez de la máquina K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AR"/>
        </a:p>
      </c:txPr>
    </c:title>
    <c:autoTitleDeleted val="0"/>
    <c:plotArea>
      <c:layout>
        <c:manualLayout>
          <c:layoutTarget val="inner"/>
          <c:xMode val="edge"/>
          <c:yMode val="edge"/>
          <c:x val="6.9338262438334963E-2"/>
          <c:y val="0.12338752177422631"/>
          <c:w val="0.89123734119884179"/>
          <c:h val="0.77941597222222214"/>
        </c:manualLayout>
      </c:layout>
      <c:lineChart>
        <c:grouping val="standard"/>
        <c:varyColors val="0"/>
        <c:ser>
          <c:idx val="1"/>
          <c:order val="0"/>
          <c:tx>
            <c:strRef>
              <c:f>'sumatoria de desplazamiento'!$B$19</c:f>
              <c:strCache>
                <c:ptCount val="1"/>
                <c:pt idx="0">
                  <c:v>Rigidez de la máquina [kN/mm]</c:v>
                </c:pt>
              </c:strCache>
            </c:strRef>
          </c:tx>
          <c:spPr>
            <a:ln w="22225" cap="rnd">
              <a:solidFill>
                <a:schemeClr val="accent2"/>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desplazamiento'!$C$19:$M$19</c:f>
              <c:numCache>
                <c:formatCode>0.0</c:formatCode>
                <c:ptCount val="11"/>
                <c:pt idx="0">
                  <c:v>30.300330819011879</c:v>
                </c:pt>
                <c:pt idx="1">
                  <c:v>27.11359266761691</c:v>
                </c:pt>
                <c:pt idx="2">
                  <c:v>26.18422408354234</c:v>
                </c:pt>
                <c:pt idx="3">
                  <c:v>24.697075956762667</c:v>
                </c:pt>
                <c:pt idx="4">
                  <c:v>24.364858394184065</c:v>
                </c:pt>
                <c:pt idx="5">
                  <c:v>24.826479048661234</c:v>
                </c:pt>
                <c:pt idx="6">
                  <c:v>24.740342885483511</c:v>
                </c:pt>
                <c:pt idx="7">
                  <c:v>24.672397265635748</c:v>
                </c:pt>
                <c:pt idx="8">
                  <c:v>24.372642841738045</c:v>
                </c:pt>
                <c:pt idx="9">
                  <c:v>24.283837915958866</c:v>
                </c:pt>
                <c:pt idx="10">
                  <c:v>24.082697865191651</c:v>
                </c:pt>
              </c:numCache>
            </c:numRef>
          </c:val>
          <c:smooth val="0"/>
          <c:extLst>
            <c:ext xmlns:c16="http://schemas.microsoft.com/office/drawing/2014/chart" uri="{C3380CC4-5D6E-409C-BE32-E72D297353CC}">
              <c16:uniqueId val="{00000001-139E-4414-AEE6-C87800935FEE}"/>
            </c:ext>
          </c:extLst>
        </c:ser>
        <c:ser>
          <c:idx val="0"/>
          <c:order val="1"/>
          <c:tx>
            <c:strRef>
              <c:f>'sumatoria de desplazamiento'!$B$20</c:f>
              <c:strCache>
                <c:ptCount val="1"/>
                <c:pt idx="0">
                  <c:v>Promedio</c:v>
                </c:pt>
              </c:strCache>
            </c:strRef>
          </c:tx>
          <c:spPr>
            <a:ln w="22225" cap="rnd">
              <a:solidFill>
                <a:schemeClr val="accent1"/>
              </a:solidFill>
              <a:round/>
            </a:ln>
            <a:effectLst/>
          </c:spPr>
          <c:marker>
            <c:symbol val="none"/>
          </c:marker>
          <c:val>
            <c:numRef>
              <c:f>'sumatoria de desplazamiento'!$C$20:$M$20</c:f>
              <c:numCache>
                <c:formatCode>0.0</c:formatCode>
                <c:ptCount val="11"/>
                <c:pt idx="0">
                  <c:v>25.4216799767079</c:v>
                </c:pt>
                <c:pt idx="1">
                  <c:v>25.4216799767079</c:v>
                </c:pt>
                <c:pt idx="2">
                  <c:v>25.4216799767079</c:v>
                </c:pt>
                <c:pt idx="3">
                  <c:v>25.4216799767079</c:v>
                </c:pt>
                <c:pt idx="4">
                  <c:v>25.4216799767079</c:v>
                </c:pt>
                <c:pt idx="5">
                  <c:v>25.4216799767079</c:v>
                </c:pt>
                <c:pt idx="6">
                  <c:v>25.4216799767079</c:v>
                </c:pt>
                <c:pt idx="7">
                  <c:v>25.4216799767079</c:v>
                </c:pt>
                <c:pt idx="8">
                  <c:v>25.4216799767079</c:v>
                </c:pt>
                <c:pt idx="9">
                  <c:v>25.4216799767079</c:v>
                </c:pt>
                <c:pt idx="10">
                  <c:v>25.4216799767079</c:v>
                </c:pt>
              </c:numCache>
            </c:numRef>
          </c:val>
          <c:smooth val="0"/>
          <c:extLst>
            <c:ext xmlns:c16="http://schemas.microsoft.com/office/drawing/2014/chart" uri="{C3380CC4-5D6E-409C-BE32-E72D297353CC}">
              <c16:uniqueId val="{00000001-303D-4AB7-82BC-7EAA9D89C0FC}"/>
            </c:ext>
          </c:extLst>
        </c:ser>
        <c:dLbls>
          <c:showLegendKey val="0"/>
          <c:showVal val="0"/>
          <c:showCatName val="0"/>
          <c:showSerName val="0"/>
          <c:showPercent val="0"/>
          <c:showBubbleSize val="0"/>
        </c:dLbls>
        <c:smooth val="0"/>
        <c:axId val="250525776"/>
        <c:axId val="250523376"/>
      </c:lineChart>
      <c:catAx>
        <c:axId val="250525776"/>
        <c:scaling>
          <c:orientation val="minMax"/>
        </c:scaling>
        <c:delete val="0"/>
        <c:axPos val="b"/>
        <c:majorGridlines>
          <c:spPr>
            <a:ln w="6350" cap="flat" cmpd="sng" algn="ctr">
              <a:solidFill>
                <a:schemeClr val="bg1">
                  <a:lumMod val="85000"/>
                </a:schemeClr>
              </a:solidFill>
              <a:round/>
            </a:ln>
            <a:effectLst/>
          </c:spPr>
        </c:majorGridlines>
        <c:minorGridlines>
          <c:spPr>
            <a:ln w="9525" cap="flat" cmpd="sng" algn="ctr">
              <a:solidFill>
                <a:schemeClr val="tx1"/>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28512012012012"/>
              <c:y val="0.947483564814814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1"/>
        <c:majorTickMark val="in"/>
        <c:minorTickMark val="in"/>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250523376"/>
        <c:crosses val="autoZero"/>
        <c:auto val="1"/>
        <c:lblAlgn val="ctr"/>
        <c:lblOffset val="100"/>
        <c:tickLblSkip val="1"/>
        <c:tickMarkSkip val="1"/>
        <c:noMultiLvlLbl val="0"/>
      </c:catAx>
      <c:valAx>
        <c:axId val="250523376"/>
        <c:scaling>
          <c:orientation val="minMax"/>
          <c:max val="31"/>
          <c:min val="22"/>
        </c:scaling>
        <c:delete val="0"/>
        <c:axPos val="l"/>
        <c:majorGridlines>
          <c:spPr>
            <a:ln w="9525" cap="flat" cmpd="sng" algn="ctr">
              <a:solidFill>
                <a:schemeClr val="tx1">
                  <a:alpha val="54000"/>
                </a:schemeClr>
              </a:solidFill>
              <a:round/>
            </a:ln>
            <a:effectLst/>
          </c:spPr>
        </c:majorGridlines>
        <c:minorGridlines>
          <c:spPr>
            <a:ln w="6350" cap="flat" cmpd="sng" algn="ctr">
              <a:solidFill>
                <a:schemeClr val="bg1">
                  <a:lumMod val="85000"/>
                </a:schemeClr>
              </a:solidFill>
              <a:round/>
            </a:ln>
            <a:effectLst/>
          </c:spPr>
        </c:min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a:t>rigidez [kN/mm]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0.0"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250525776"/>
        <c:crosses val="autoZero"/>
        <c:crossBetween val="between"/>
        <c:majorUnit val="1"/>
        <c:min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1">
          <a:lumMod val="85000"/>
        </a:schemeClr>
      </a:solidFill>
      <a:round/>
    </a:ln>
    <a:effectLst/>
  </c:spPr>
  <c:txPr>
    <a:bodyPr/>
    <a:lstStyle/>
    <a:p>
      <a:pPr>
        <a:defRPr/>
      </a:pPr>
      <a:endParaRPr lang="es-A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b="1"/>
              <a:t>Desplazamiento</a:t>
            </a:r>
            <a:r>
              <a:rPr lang="es-AR" b="1" baseline="0"/>
              <a:t> Total de la máquina y de sus componentes</a:t>
            </a:r>
            <a:endParaRPr lang="es-A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4.2965354938271604E-2"/>
          <c:y val="3.8246970868780615E-2"/>
          <c:w val="0.95703464506172842"/>
          <c:h val="0.86327062461269688"/>
        </c:manualLayout>
      </c:layout>
      <c:lineChart>
        <c:grouping val="standard"/>
        <c:varyColors val="0"/>
        <c:ser>
          <c:idx val="0"/>
          <c:order val="0"/>
          <c:tx>
            <c:strRef>
              <c:f>'sumatoria de desplazamiento'!$B$4</c:f>
              <c:strCache>
                <c:ptCount val="1"/>
                <c:pt idx="0">
                  <c:v>Conjunto mordaza [1]</c:v>
                </c:pt>
              </c:strCache>
            </c:strRef>
          </c:tx>
          <c:spPr>
            <a:ln w="28575" cap="rnd">
              <a:solidFill>
                <a:schemeClr val="accent1"/>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desplazamiento'!$C$4:$M$4</c:f>
              <c:numCache>
                <c:formatCode>0.0000</c:formatCode>
                <c:ptCount val="11"/>
                <c:pt idx="0">
                  <c:v>2.7878E-3</c:v>
                </c:pt>
                <c:pt idx="1">
                  <c:v>6.0567999999999993E-3</c:v>
                </c:pt>
                <c:pt idx="2">
                  <c:v>1.29228E-2</c:v>
                </c:pt>
                <c:pt idx="3">
                  <c:v>2.2742800000000001E-2</c:v>
                </c:pt>
                <c:pt idx="4">
                  <c:v>3.0912800000000001E-2</c:v>
                </c:pt>
                <c:pt idx="5">
                  <c:v>3.4322800000000001E-2</c:v>
                </c:pt>
                <c:pt idx="6">
                  <c:v>4.1312799999999997E-2</c:v>
                </c:pt>
                <c:pt idx="7">
                  <c:v>4.83028E-2</c:v>
                </c:pt>
                <c:pt idx="8">
                  <c:v>5.6942799999999995E-2</c:v>
                </c:pt>
                <c:pt idx="9">
                  <c:v>6.4232800000000007E-2</c:v>
                </c:pt>
                <c:pt idx="10">
                  <c:v>7.15528E-2</c:v>
                </c:pt>
              </c:numCache>
            </c:numRef>
          </c:val>
          <c:smooth val="0"/>
          <c:extLst>
            <c:ext xmlns:c16="http://schemas.microsoft.com/office/drawing/2014/chart" uri="{C3380CC4-5D6E-409C-BE32-E72D297353CC}">
              <c16:uniqueId val="{00000000-81CB-4E21-8700-97607FBA3972}"/>
            </c:ext>
          </c:extLst>
        </c:ser>
        <c:ser>
          <c:idx val="16"/>
          <c:order val="1"/>
          <c:tx>
            <c:strRef>
              <c:f>'sumatoria de desplazamiento'!$B$5</c:f>
              <c:strCache>
                <c:ptCount val="1"/>
                <c:pt idx="0">
                  <c:v>Pasador mordaza [2]</c:v>
                </c:pt>
              </c:strCache>
            </c:strRef>
          </c:tx>
          <c:spPr>
            <a:ln w="28575" cap="rnd">
              <a:solidFill>
                <a:schemeClr val="tx1"/>
              </a:solidFill>
              <a:round/>
            </a:ln>
            <a:effectLst/>
          </c:spPr>
          <c:marker>
            <c:symbol val="none"/>
          </c:marker>
          <c:val>
            <c:numRef>
              <c:f>'sumatoria de desplazamiento'!$C$5:$M$5</c:f>
              <c:numCache>
                <c:formatCode>0.0000</c:formatCode>
                <c:ptCount val="11"/>
                <c:pt idx="0">
                  <c:v>0</c:v>
                </c:pt>
                <c:pt idx="1">
                  <c:v>0</c:v>
                </c:pt>
                <c:pt idx="2">
                  <c:v>0</c:v>
                </c:pt>
                <c:pt idx="3">
                  <c:v>2.9E-5</c:v>
                </c:pt>
                <c:pt idx="4">
                  <c:v>3.8000000000000002E-4</c:v>
                </c:pt>
                <c:pt idx="5">
                  <c:v>4.7999999999999996E-3</c:v>
                </c:pt>
                <c:pt idx="6">
                  <c:v>5.7999999999999996E-3</c:v>
                </c:pt>
                <c:pt idx="7">
                  <c:v>6.7000000000000002E-3</c:v>
                </c:pt>
                <c:pt idx="8">
                  <c:v>7.7000000000000002E-3</c:v>
                </c:pt>
                <c:pt idx="9">
                  <c:v>8.6E-3</c:v>
                </c:pt>
                <c:pt idx="10">
                  <c:v>9.5999999999999992E-3</c:v>
                </c:pt>
              </c:numCache>
            </c:numRef>
          </c:val>
          <c:smooth val="0"/>
          <c:extLst>
            <c:ext xmlns:c16="http://schemas.microsoft.com/office/drawing/2014/chart" uri="{C3380CC4-5D6E-409C-BE32-E72D297353CC}">
              <c16:uniqueId val="{00000001-81CB-4E21-8700-97607FBA3972}"/>
            </c:ext>
          </c:extLst>
        </c:ser>
        <c:ser>
          <c:idx val="1"/>
          <c:order val="2"/>
          <c:tx>
            <c:strRef>
              <c:f>'sumatoria de desplazamiento'!$B$6</c:f>
              <c:strCache>
                <c:ptCount val="1"/>
                <c:pt idx="0">
                  <c:v>Perno de unión mordaza [3]</c:v>
                </c:pt>
              </c:strCache>
            </c:strRef>
          </c:tx>
          <c:spPr>
            <a:ln w="28575" cap="rnd">
              <a:solidFill>
                <a:schemeClr val="accent2"/>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desplazamiento'!$C$6:$M$6</c:f>
              <c:numCache>
                <c:formatCode>0.0000</c:formatCode>
                <c:ptCount val="11"/>
                <c:pt idx="0">
                  <c:v>4.999999999999999E-4</c:v>
                </c:pt>
                <c:pt idx="1">
                  <c:v>1E-3</c:v>
                </c:pt>
                <c:pt idx="2">
                  <c:v>2.1000000000000003E-3</c:v>
                </c:pt>
                <c:pt idx="3">
                  <c:v>3.2000000000000002E-3</c:v>
                </c:pt>
                <c:pt idx="4">
                  <c:v>4.3999999999999994E-3</c:v>
                </c:pt>
                <c:pt idx="5">
                  <c:v>5.4999999999999997E-3</c:v>
                </c:pt>
                <c:pt idx="6">
                  <c:v>6.6E-3</c:v>
                </c:pt>
                <c:pt idx="7">
                  <c:v>7.6999999999999994E-3</c:v>
                </c:pt>
                <c:pt idx="8">
                  <c:v>8.8000000000000005E-3</c:v>
                </c:pt>
                <c:pt idx="9">
                  <c:v>9.9000000000000008E-3</c:v>
                </c:pt>
                <c:pt idx="10">
                  <c:v>1.1000000000000001E-2</c:v>
                </c:pt>
              </c:numCache>
            </c:numRef>
          </c:val>
          <c:smooth val="0"/>
          <c:extLst>
            <c:ext xmlns:c16="http://schemas.microsoft.com/office/drawing/2014/chart" uri="{C3380CC4-5D6E-409C-BE32-E72D297353CC}">
              <c16:uniqueId val="{00000002-81CB-4E21-8700-97607FBA3972}"/>
            </c:ext>
          </c:extLst>
        </c:ser>
        <c:ser>
          <c:idx val="2"/>
          <c:order val="3"/>
          <c:tx>
            <c:strRef>
              <c:f>'sumatoria de desplazamiento'!$B$7</c:f>
              <c:strCache>
                <c:ptCount val="1"/>
                <c:pt idx="0">
                  <c:v>Rótula Inferior [4]</c:v>
                </c:pt>
              </c:strCache>
            </c:strRef>
          </c:tx>
          <c:spPr>
            <a:ln w="28575" cap="rnd">
              <a:solidFill>
                <a:schemeClr val="tx1">
                  <a:lumMod val="50000"/>
                  <a:lumOff val="50000"/>
                </a:schemeClr>
              </a:solidFill>
              <a:prstDash val="lgDashDot"/>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desplazamiento'!$C$7:$M$7</c:f>
              <c:numCache>
                <c:formatCode>0.0000</c:formatCode>
                <c:ptCount val="11"/>
                <c:pt idx="0">
                  <c:v>8.3099999999999992E-4</c:v>
                </c:pt>
                <c:pt idx="1">
                  <c:v>1.8809999999999999E-3</c:v>
                </c:pt>
                <c:pt idx="2">
                  <c:v>3.9709999999999997E-3</c:v>
                </c:pt>
                <c:pt idx="3">
                  <c:v>6.0610000000000004E-3</c:v>
                </c:pt>
                <c:pt idx="4">
                  <c:v>8.1509999999999985E-3</c:v>
                </c:pt>
                <c:pt idx="5">
                  <c:v>1.0190999999999999E-2</c:v>
                </c:pt>
                <c:pt idx="6">
                  <c:v>1.2291E-2</c:v>
                </c:pt>
                <c:pt idx="7">
                  <c:v>1.4390999999999999E-2</c:v>
                </c:pt>
                <c:pt idx="8">
                  <c:v>1.6490999999999999E-2</c:v>
                </c:pt>
                <c:pt idx="9">
                  <c:v>1.8591E-2</c:v>
                </c:pt>
                <c:pt idx="10">
                  <c:v>2.0690999999999998E-2</c:v>
                </c:pt>
              </c:numCache>
            </c:numRef>
          </c:val>
          <c:smooth val="0"/>
          <c:extLst>
            <c:ext xmlns:c16="http://schemas.microsoft.com/office/drawing/2014/chart" uri="{C3380CC4-5D6E-409C-BE32-E72D297353CC}">
              <c16:uniqueId val="{00000003-81CB-4E21-8700-97607FBA3972}"/>
            </c:ext>
          </c:extLst>
        </c:ser>
        <c:ser>
          <c:idx val="3"/>
          <c:order val="4"/>
          <c:tx>
            <c:strRef>
              <c:f>'sumatoria de desplazamiento'!$B$8</c:f>
              <c:strCache>
                <c:ptCount val="1"/>
                <c:pt idx="0">
                  <c:v>Pasador rótula inferior [5]</c:v>
                </c:pt>
              </c:strCache>
            </c:strRef>
          </c:tx>
          <c:spPr>
            <a:ln w="28575" cap="rnd">
              <a:solidFill>
                <a:schemeClr val="accent6">
                  <a:lumMod val="75000"/>
                </a:schemeClr>
              </a:solidFill>
              <a:round/>
            </a:ln>
            <a:effectLst/>
          </c:spPr>
          <c:marker>
            <c:symbol val="none"/>
          </c:marker>
          <c:val>
            <c:numRef>
              <c:f>'sumatoria de desplazamiento'!$C$8:$M$8</c:f>
              <c:numCache>
                <c:formatCode>0.0000</c:formatCode>
                <c:ptCount val="11"/>
                <c:pt idx="0">
                  <c:v>1.5000000000000001E-4</c:v>
                </c:pt>
                <c:pt idx="1">
                  <c:v>3.3E-4</c:v>
                </c:pt>
                <c:pt idx="2">
                  <c:v>7.1000000000000002E-4</c:v>
                </c:pt>
                <c:pt idx="3">
                  <c:v>1.0799999999999998E-3</c:v>
                </c:pt>
                <c:pt idx="4">
                  <c:v>1.4599999999999999E-3</c:v>
                </c:pt>
                <c:pt idx="5">
                  <c:v>1.8299999999999998E-3</c:v>
                </c:pt>
                <c:pt idx="6">
                  <c:v>2.1999999999999997E-3</c:v>
                </c:pt>
                <c:pt idx="7">
                  <c:v>2.5799999999999998E-3</c:v>
                </c:pt>
                <c:pt idx="8">
                  <c:v>2.9499999999999999E-3</c:v>
                </c:pt>
                <c:pt idx="9">
                  <c:v>3.3300000000000001E-3</c:v>
                </c:pt>
                <c:pt idx="10">
                  <c:v>3.6999999999999997E-3</c:v>
                </c:pt>
              </c:numCache>
            </c:numRef>
          </c:val>
          <c:smooth val="0"/>
          <c:extLst>
            <c:ext xmlns:c16="http://schemas.microsoft.com/office/drawing/2014/chart" uri="{C3380CC4-5D6E-409C-BE32-E72D297353CC}">
              <c16:uniqueId val="{00000000-47E0-4B2D-BF0E-45183DD6D285}"/>
            </c:ext>
          </c:extLst>
        </c:ser>
        <c:ser>
          <c:idx val="4"/>
          <c:order val="5"/>
          <c:tx>
            <c:strRef>
              <c:f>'sumatoria de desplazamiento'!$B$9</c:f>
              <c:strCache>
                <c:ptCount val="1"/>
                <c:pt idx="0">
                  <c:v>Conjunto travezaño fijo [6]</c:v>
                </c:pt>
              </c:strCache>
            </c:strRef>
          </c:tx>
          <c:spPr>
            <a:ln w="28575" cap="rnd">
              <a:solidFill>
                <a:srgbClr val="FF0000"/>
              </a:solidFill>
              <a:prstDash val="sysDot"/>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desplazamiento'!$C$9:$M$9</c:f>
              <c:numCache>
                <c:formatCode>0.0000</c:formatCode>
                <c:ptCount val="11"/>
                <c:pt idx="0">
                  <c:v>3.8100000000000009E-3</c:v>
                </c:pt>
                <c:pt idx="1">
                  <c:v>8.4100000000000008E-3</c:v>
                </c:pt>
                <c:pt idx="2">
                  <c:v>1.6972000000000001E-2</c:v>
                </c:pt>
                <c:pt idx="3">
                  <c:v>2.4508000000000002E-2</c:v>
                </c:pt>
                <c:pt idx="4">
                  <c:v>3.1940000000000003E-2</c:v>
                </c:pt>
                <c:pt idx="5">
                  <c:v>3.9620000000000002E-2</c:v>
                </c:pt>
                <c:pt idx="6">
                  <c:v>4.7390000000000002E-2</c:v>
                </c:pt>
                <c:pt idx="7">
                  <c:v>5.5279999999999996E-2</c:v>
                </c:pt>
                <c:pt idx="8">
                  <c:v>6.3240000000000005E-2</c:v>
                </c:pt>
                <c:pt idx="9">
                  <c:v>7.1529999999999996E-2</c:v>
                </c:pt>
                <c:pt idx="10">
                  <c:v>8.1950000000000009E-2</c:v>
                </c:pt>
              </c:numCache>
            </c:numRef>
          </c:val>
          <c:smooth val="0"/>
          <c:extLst>
            <c:ext xmlns:c16="http://schemas.microsoft.com/office/drawing/2014/chart" uri="{C3380CC4-5D6E-409C-BE32-E72D297353CC}">
              <c16:uniqueId val="{00000004-81CB-4E21-8700-97607FBA3972}"/>
            </c:ext>
          </c:extLst>
        </c:ser>
        <c:ser>
          <c:idx val="5"/>
          <c:order val="6"/>
          <c:tx>
            <c:strRef>
              <c:f>'sumatoria de desplazamiento'!$B$10</c:f>
              <c:strCache>
                <c:ptCount val="1"/>
                <c:pt idx="0">
                  <c:v>Tornillo de potencia [7]</c:v>
                </c:pt>
              </c:strCache>
            </c:strRef>
          </c:tx>
          <c:spPr>
            <a:ln w="28575" cap="rnd">
              <a:solidFill>
                <a:srgbClr val="FF66CC"/>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desplazamiento'!$C$10:$M$10</c:f>
              <c:numCache>
                <c:formatCode>0.0000</c:formatCode>
                <c:ptCount val="11"/>
                <c:pt idx="0">
                  <c:v>2.1289999999999998E-3</c:v>
                </c:pt>
                <c:pt idx="1">
                  <c:v>4.7789999999999994E-3</c:v>
                </c:pt>
                <c:pt idx="2">
                  <c:v>1.0069E-2</c:v>
                </c:pt>
                <c:pt idx="3">
                  <c:v>1.5369000000000001E-2</c:v>
                </c:pt>
                <c:pt idx="4">
                  <c:v>2.0669E-2</c:v>
                </c:pt>
                <c:pt idx="5">
                  <c:v>2.6068999999999998E-2</c:v>
                </c:pt>
                <c:pt idx="6">
                  <c:v>3.1369000000000001E-2</c:v>
                </c:pt>
                <c:pt idx="7">
                  <c:v>3.6669E-2</c:v>
                </c:pt>
                <c:pt idx="8">
                  <c:v>4.1969000000000006E-2</c:v>
                </c:pt>
                <c:pt idx="9">
                  <c:v>4.7269000000000005E-2</c:v>
                </c:pt>
                <c:pt idx="10">
                  <c:v>5.2569000000000005E-2</c:v>
                </c:pt>
              </c:numCache>
            </c:numRef>
          </c:val>
          <c:smooth val="0"/>
          <c:extLst>
            <c:ext xmlns:c16="http://schemas.microsoft.com/office/drawing/2014/chart" uri="{C3380CC4-5D6E-409C-BE32-E72D297353CC}">
              <c16:uniqueId val="{00000005-81CB-4E21-8700-97607FBA3972}"/>
            </c:ext>
          </c:extLst>
        </c:ser>
        <c:ser>
          <c:idx val="6"/>
          <c:order val="7"/>
          <c:tx>
            <c:strRef>
              <c:f>'sumatoria de desplazamiento'!$B$11</c:f>
              <c:strCache>
                <c:ptCount val="1"/>
                <c:pt idx="0">
                  <c:v>Tuerca de potencia [8]</c:v>
                </c:pt>
              </c:strCache>
            </c:strRef>
          </c:tx>
          <c:spPr>
            <a:ln w="28575" cap="rnd">
              <a:solidFill>
                <a:srgbClr val="FF0000"/>
              </a:solidFill>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desplazamiento'!$C$11:$M$11</c:f>
              <c:numCache>
                <c:formatCode>0.0000</c:formatCode>
                <c:ptCount val="11"/>
                <c:pt idx="0">
                  <c:v>2.3670000000000002E-5</c:v>
                </c:pt>
                <c:pt idx="1">
                  <c:v>5.8706999999999997E-4</c:v>
                </c:pt>
                <c:pt idx="2">
                  <c:v>1.1307E-4</c:v>
                </c:pt>
                <c:pt idx="3">
                  <c:v>1.7207E-4</c:v>
                </c:pt>
                <c:pt idx="4">
                  <c:v>2.3107E-4</c:v>
                </c:pt>
                <c:pt idx="5">
                  <c:v>2.9006999999999997E-4</c:v>
                </c:pt>
                <c:pt idx="6">
                  <c:v>3.5006999999999996E-4</c:v>
                </c:pt>
                <c:pt idx="7">
                  <c:v>4.0906999999999998E-4</c:v>
                </c:pt>
                <c:pt idx="8">
                  <c:v>4.6806999999999996E-4</c:v>
                </c:pt>
                <c:pt idx="9">
                  <c:v>5.2806999999999995E-4</c:v>
                </c:pt>
                <c:pt idx="10">
                  <c:v>5.8706999999999997E-4</c:v>
                </c:pt>
              </c:numCache>
            </c:numRef>
          </c:val>
          <c:smooth val="0"/>
          <c:extLst>
            <c:ext xmlns:c16="http://schemas.microsoft.com/office/drawing/2014/chart" uri="{C3380CC4-5D6E-409C-BE32-E72D297353CC}">
              <c16:uniqueId val="{00000006-81CB-4E21-8700-97607FBA3972}"/>
            </c:ext>
          </c:extLst>
        </c:ser>
        <c:ser>
          <c:idx val="7"/>
          <c:order val="8"/>
          <c:tx>
            <c:strRef>
              <c:f>'sumatoria de desplazamiento'!$B$12</c:f>
              <c:strCache>
                <c:ptCount val="1"/>
                <c:pt idx="0">
                  <c:v>Conjunto travezaño móvil [9]</c:v>
                </c:pt>
              </c:strCache>
            </c:strRef>
          </c:tx>
          <c:spPr>
            <a:ln w="28575" cap="rnd">
              <a:solidFill>
                <a:srgbClr val="00B0F0"/>
              </a:solidFill>
              <a:prstDash val="sysDot"/>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desplazamiento'!$C$12:$M$12</c:f>
              <c:numCache>
                <c:formatCode>0.0000</c:formatCode>
                <c:ptCount val="11"/>
                <c:pt idx="0">
                  <c:v>2.0400000000000001E-3</c:v>
                </c:pt>
                <c:pt idx="1">
                  <c:v>4.6500000000000014E-3</c:v>
                </c:pt>
                <c:pt idx="2">
                  <c:v>1.0002E-2</c:v>
                </c:pt>
                <c:pt idx="3">
                  <c:v>1.5471E-2</c:v>
                </c:pt>
                <c:pt idx="4">
                  <c:v>2.1101000000000002E-2</c:v>
                </c:pt>
                <c:pt idx="5">
                  <c:v>2.6918999999999998E-2</c:v>
                </c:pt>
                <c:pt idx="6">
                  <c:v>3.2780000000000004E-2</c:v>
                </c:pt>
                <c:pt idx="7">
                  <c:v>3.8699999999999998E-2</c:v>
                </c:pt>
                <c:pt idx="8">
                  <c:v>4.4609999999999997E-2</c:v>
                </c:pt>
                <c:pt idx="9">
                  <c:v>5.058E-2</c:v>
                </c:pt>
                <c:pt idx="10">
                  <c:v>5.663E-2</c:v>
                </c:pt>
              </c:numCache>
            </c:numRef>
          </c:val>
          <c:smooth val="0"/>
          <c:extLst>
            <c:ext xmlns:c16="http://schemas.microsoft.com/office/drawing/2014/chart" uri="{C3380CC4-5D6E-409C-BE32-E72D297353CC}">
              <c16:uniqueId val="{00000007-81CB-4E21-8700-97607FBA3972}"/>
            </c:ext>
          </c:extLst>
        </c:ser>
        <c:ser>
          <c:idx val="8"/>
          <c:order val="9"/>
          <c:tx>
            <c:strRef>
              <c:f>'sumatoria de desplazamiento'!$B$13</c:f>
              <c:strCache>
                <c:ptCount val="1"/>
                <c:pt idx="0">
                  <c:v>Pasador rótula superior [10]</c:v>
                </c:pt>
              </c:strCache>
            </c:strRef>
          </c:tx>
          <c:spPr>
            <a:ln w="28575" cap="rnd">
              <a:solidFill>
                <a:srgbClr val="66FF33"/>
              </a:solidFill>
              <a:prstDash val="solid"/>
              <a:round/>
            </a:ln>
            <a:effectLst/>
          </c:spPr>
          <c:marker>
            <c:symbol val="none"/>
          </c:marker>
          <c:cat>
            <c:numRef>
              <c:f>'sumatoria de desplazamiento'!$C$3:$M$3</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'sumatoria de desplazamiento'!$C$13:$M$13</c:f>
              <c:numCache>
                <c:formatCode>0.0000</c:formatCode>
                <c:ptCount val="11"/>
                <c:pt idx="0">
                  <c:v>1.1119999999999999E-4</c:v>
                </c:pt>
                <c:pt idx="1">
                  <c:v>2.5019999999999996E-4</c:v>
                </c:pt>
                <c:pt idx="2">
                  <c:v>5.2819999999999994E-4</c:v>
                </c:pt>
                <c:pt idx="3">
                  <c:v>8.0619999999999997E-4</c:v>
                </c:pt>
                <c:pt idx="4">
                  <c:v>1.0822000000000002E-3</c:v>
                </c:pt>
                <c:pt idx="5">
                  <c:v>1.3622E-3</c:v>
                </c:pt>
                <c:pt idx="6">
                  <c:v>1.6422000000000001E-3</c:v>
                </c:pt>
                <c:pt idx="7">
                  <c:v>1.9222E-3</c:v>
                </c:pt>
                <c:pt idx="8">
                  <c:v>2.0621999999999997E-3</c:v>
                </c:pt>
                <c:pt idx="9">
                  <c:v>2.4721999999999999E-3</c:v>
                </c:pt>
                <c:pt idx="10">
                  <c:v>2.7521999999999998E-3</c:v>
                </c:pt>
              </c:numCache>
            </c:numRef>
          </c:val>
          <c:smooth val="0"/>
          <c:extLst>
            <c:ext xmlns:c16="http://schemas.microsoft.com/office/drawing/2014/chart" uri="{C3380CC4-5D6E-409C-BE32-E72D297353CC}">
              <c16:uniqueId val="{00000008-81CB-4E21-8700-97607FBA3972}"/>
            </c:ext>
          </c:extLst>
        </c:ser>
        <c:dLbls>
          <c:showLegendKey val="0"/>
          <c:showVal val="0"/>
          <c:showCatName val="0"/>
          <c:showSerName val="0"/>
          <c:showPercent val="0"/>
          <c:showBubbleSize val="0"/>
        </c:dLbls>
        <c:smooth val="0"/>
        <c:axId val="732818952"/>
        <c:axId val="732822024"/>
      </c:lineChart>
      <c:catAx>
        <c:axId val="732818952"/>
        <c:scaling>
          <c:orientation val="minMax"/>
        </c:scaling>
        <c:delete val="0"/>
        <c:axPos val="b"/>
        <c:majorGridlines>
          <c:spPr>
            <a:ln w="6350" cap="flat" cmpd="sng" algn="ctr">
              <a:solidFill>
                <a:schemeClr val="bg1">
                  <a:lumMod val="95000"/>
                </a:schemeClr>
              </a:solidFill>
              <a:round/>
            </a:ln>
            <a:effectLst/>
          </c:spPr>
        </c:majorGridlines>
        <c:minorGridlines>
          <c:spPr>
            <a:ln w="9525" cap="flat" cmpd="sng" algn="ctr">
              <a:solidFill>
                <a:schemeClr val="bg1">
                  <a:lumMod val="7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sz="1000" b="1" i="0" u="none" strike="noStrike" kern="1200" baseline="0">
                    <a:solidFill>
                      <a:sysClr val="windowText" lastClr="000000">
                        <a:lumMod val="65000"/>
                        <a:lumOff val="35000"/>
                      </a:sysClr>
                    </a:solidFill>
                  </a:rPr>
                  <a:t>Fuerza de tensión en [kN]</a:t>
                </a:r>
              </a:p>
            </c:rich>
          </c:tx>
          <c:layout>
            <c:manualLayout>
              <c:xMode val="edge"/>
              <c:yMode val="edge"/>
              <c:x val="0.46428576794896065"/>
              <c:y val="0.923549926927949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22024"/>
        <c:crosses val="autoZero"/>
        <c:auto val="1"/>
        <c:lblAlgn val="ctr"/>
        <c:lblOffset val="100"/>
        <c:noMultiLvlLbl val="0"/>
      </c:catAx>
      <c:valAx>
        <c:axId val="732822024"/>
        <c:scaling>
          <c:orientation val="minMax"/>
          <c:max val="8.500000000000002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sz="1000" b="1" i="0" u="none" strike="noStrike" kern="1200" baseline="0">
                    <a:solidFill>
                      <a:sysClr val="windowText" lastClr="000000">
                        <a:lumMod val="65000"/>
                        <a:lumOff val="35000"/>
                      </a:sysClr>
                    </a:solidFill>
                  </a:rPr>
                  <a:t>Desplazamiento longitudinal [mm]</a:t>
                </a:r>
              </a:p>
            </c:rich>
          </c:tx>
          <c:layout>
            <c:manualLayout>
              <c:xMode val="edge"/>
              <c:yMode val="edge"/>
              <c:x val="2.808256172839506E-3"/>
              <c:y val="0.410882259207158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00" sourceLinked="0"/>
        <c:majorTickMark val="in"/>
        <c:minorTickMark val="in"/>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18952"/>
        <c:crosses val="autoZero"/>
        <c:crossBetween val="between"/>
        <c:majorUnit val="1.0000000000000002E-2"/>
      </c:valAx>
      <c:spPr>
        <a:noFill/>
        <a:ln>
          <a:noFill/>
        </a:ln>
        <a:effectLst/>
      </c:spPr>
    </c:plotArea>
    <c:legend>
      <c:legendPos val="b"/>
      <c:layout>
        <c:manualLayout>
          <c:xMode val="edge"/>
          <c:yMode val="edge"/>
          <c:x val="1.1360187280436827E-2"/>
          <c:y val="0.94130370689965126"/>
          <c:w val="0.77081751877462334"/>
          <c:h val="3.4649730024681642E-2"/>
        </c:manualLayout>
      </c:layout>
      <c:overlay val="0"/>
      <c:spPr>
        <a:solidFill>
          <a:schemeClr val="bg1"/>
        </a:solid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338319822039085E-2"/>
          <c:y val="4.1906095071449399E-2"/>
          <c:w val="0.89123734119884179"/>
          <c:h val="0.86089744337513363"/>
        </c:manualLayout>
      </c:layout>
      <c:lineChart>
        <c:grouping val="standard"/>
        <c:varyColors val="0"/>
        <c:ser>
          <c:idx val="1"/>
          <c:order val="0"/>
          <c:tx>
            <c:strRef>
              <c:f>'e elastica maq'!$A$4</c:f>
              <c:strCache>
                <c:ptCount val="1"/>
                <c:pt idx="0">
                  <c:v>e% probeta</c:v>
                </c:pt>
              </c:strCache>
            </c:strRef>
          </c:tx>
          <c:spPr>
            <a:ln w="22225" cap="rnd">
              <a:solidFill>
                <a:schemeClr val="accent2"/>
              </a:solidFill>
              <a:round/>
            </a:ln>
            <a:effectLst/>
          </c:spPr>
          <c:marker>
            <c:symbol val="none"/>
          </c:marker>
          <c:cat>
            <c:numRef>
              <c:f>'e elastica maq'!$B$2:$K$2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'e elastica maq'!$B$4:$K$4</c:f>
              <c:numCache>
                <c:formatCode>General</c:formatCode>
                <c:ptCount val="10"/>
                <c:pt idx="0">
                  <c:v>0.32561516845700739</c:v>
                </c:pt>
                <c:pt idx="1">
                  <c:v>0.65123033691401477</c:v>
                </c:pt>
                <c:pt idx="2">
                  <c:v>0.9768455053710221</c:v>
                </c:pt>
                <c:pt idx="3">
                  <c:v>1.3024606738280295</c:v>
                </c:pt>
                <c:pt idx="4">
                  <c:v>1.6280758422850372</c:v>
                </c:pt>
                <c:pt idx="5">
                  <c:v>1.9536910107420442</c:v>
                </c:pt>
                <c:pt idx="6">
                  <c:v>2.2793061791990517</c:v>
                </c:pt>
                <c:pt idx="7">
                  <c:v>2.6049213476560591</c:v>
                </c:pt>
                <c:pt idx="8">
                  <c:v>2.9305365161130665</c:v>
                </c:pt>
                <c:pt idx="9">
                  <c:v>3.2561516845700744</c:v>
                </c:pt>
              </c:numCache>
            </c:numRef>
          </c:val>
          <c:smooth val="0"/>
          <c:extLst>
            <c:ext xmlns:c16="http://schemas.microsoft.com/office/drawing/2014/chart" uri="{C3380CC4-5D6E-409C-BE32-E72D297353CC}">
              <c16:uniqueId val="{00000003-5FB4-45F1-84D5-8DE0EC387592}"/>
            </c:ext>
          </c:extLst>
        </c:ser>
        <c:dLbls>
          <c:showLegendKey val="0"/>
          <c:showVal val="0"/>
          <c:showCatName val="0"/>
          <c:showSerName val="0"/>
          <c:showPercent val="0"/>
          <c:showBubbleSize val="0"/>
        </c:dLbls>
        <c:smooth val="0"/>
        <c:axId val="250525776"/>
        <c:axId val="250523376"/>
      </c:lineChart>
      <c:catAx>
        <c:axId val="250525776"/>
        <c:scaling>
          <c:orientation val="minMax"/>
        </c:scaling>
        <c:delete val="0"/>
        <c:axPos val="b"/>
        <c:majorGridlines>
          <c:spPr>
            <a:ln w="6350" cap="flat" cmpd="sng" algn="ctr">
              <a:solidFill>
                <a:schemeClr val="bg1">
                  <a:lumMod val="85000"/>
                </a:schemeClr>
              </a:solidFill>
              <a:round/>
            </a:ln>
            <a:effectLst/>
          </c:spPr>
        </c:majorGridlines>
        <c:minorGridlines>
          <c:spPr>
            <a:ln w="9525" cap="flat" cmpd="sng" algn="ctr">
              <a:solidFill>
                <a:schemeClr val="tx1"/>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sz="900" b="1" i="0" u="none" strike="noStrike" kern="1200" baseline="0">
                    <a:solidFill>
                      <a:sysClr val="windowText" lastClr="000000">
                        <a:lumMod val="65000"/>
                        <a:lumOff val="35000"/>
                      </a:sysClr>
                    </a:solidFill>
                  </a:rPr>
                  <a:t>Fuerza de tensión en [kN]</a:t>
                </a:r>
              </a:p>
            </c:rich>
          </c:tx>
          <c:layout>
            <c:manualLayout>
              <c:xMode val="edge"/>
              <c:yMode val="edge"/>
              <c:x val="0.428512012012012"/>
              <c:y val="0.947483564814814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1"/>
        <c:majorTickMark val="in"/>
        <c:minorTickMark val="in"/>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250523376"/>
        <c:crosses val="autoZero"/>
        <c:auto val="1"/>
        <c:lblAlgn val="ctr"/>
        <c:lblOffset val="100"/>
        <c:tickLblSkip val="1"/>
        <c:tickMarkSkip val="1"/>
        <c:noMultiLvlLbl val="0"/>
      </c:catAx>
      <c:valAx>
        <c:axId val="250523376"/>
        <c:scaling>
          <c:orientation val="minMax"/>
          <c:max val="4"/>
          <c:min val="0"/>
        </c:scaling>
        <c:delete val="0"/>
        <c:axPos val="l"/>
        <c:majorGridlines>
          <c:spPr>
            <a:ln w="9525" cap="flat" cmpd="sng" algn="ctr">
              <a:solidFill>
                <a:schemeClr val="tx1">
                  <a:alpha val="54000"/>
                </a:schemeClr>
              </a:solidFill>
              <a:round/>
            </a:ln>
            <a:effectLst/>
          </c:spPr>
        </c:majorGridlines>
        <c:minorGridlines>
          <c:spPr>
            <a:ln w="6350" cap="flat" cmpd="sng" algn="ctr">
              <a:solidFill>
                <a:schemeClr val="bg1">
                  <a:lumMod val="85000"/>
                </a:schemeClr>
              </a:solidFill>
              <a:round/>
            </a:ln>
            <a:effectLst/>
          </c:spPr>
        </c:min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AR"/>
                  <a:t>e% probeta</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title>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250525776"/>
        <c:crosses val="autoZero"/>
        <c:crossBetween val="between"/>
        <c:majorUnit val="0.5"/>
        <c:min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1">
          <a:lumMod val="85000"/>
        </a:schemeClr>
      </a:solidFill>
      <a:round/>
    </a:ln>
    <a:effectLst/>
  </c:spPr>
  <c:txPr>
    <a:bodyPr/>
    <a:lstStyle/>
    <a:p>
      <a:pPr>
        <a:defRPr/>
      </a:pPr>
      <a:endParaRPr lang="es-A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1" i="0" u="none" strike="noStrike" kern="1200" cap="none" spc="0" normalizeH="0" baseline="0">
                <a:solidFill>
                  <a:sysClr val="windowText" lastClr="000000">
                    <a:lumMod val="50000"/>
                    <a:lumOff val="50000"/>
                  </a:sysClr>
                </a:solidFill>
              </a:rPr>
              <a:t>Desplazamientos longitudinales por conjunto [mm]</a:t>
            </a:r>
            <a:endParaRPr lang="en-US" sz="14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815015015015"/>
          <c:y val="6.3500000000000001E-2"/>
          <c:w val="0.892184984984985"/>
          <c:h val="0.78361986111111115"/>
        </c:manualLayout>
      </c:layout>
      <c:lineChart>
        <c:grouping val="standard"/>
        <c:varyColors val="0"/>
        <c:ser>
          <c:idx val="0"/>
          <c:order val="0"/>
          <c:tx>
            <c:strRef>
              <c:f>'sum de desp comparadores'!$A$25</c:f>
              <c:strCache>
                <c:ptCount val="1"/>
                <c:pt idx="0">
                  <c:v>Conjunto lateral externo [Z1]</c:v>
                </c:pt>
              </c:strCache>
            </c:strRef>
          </c:tx>
          <c:spPr>
            <a:ln w="28575" cap="rnd">
              <a:solidFill>
                <a:srgbClr val="C00000"/>
              </a:solidFill>
              <a:round/>
            </a:ln>
            <a:effectLst/>
          </c:spPr>
          <c:marker>
            <c:symbol val="none"/>
          </c:marker>
          <c:cat>
            <c:strRef>
              <c:f>('sum de desp comparadores'!$B$2:$L$2,'sum de desp comparadores'!$A$2:$N$2)</c:f>
              <c:strCache>
                <c:ptCount val="25"/>
                <c:pt idx="0">
                  <c:v>0,5</c:v>
                </c:pt>
                <c:pt idx="1">
                  <c:v>1</c:v>
                </c:pt>
                <c:pt idx="2">
                  <c:v>2</c:v>
                </c:pt>
                <c:pt idx="3">
                  <c:v>3</c:v>
                </c:pt>
                <c:pt idx="4">
                  <c:v>4</c:v>
                </c:pt>
                <c:pt idx="5">
                  <c:v>5</c:v>
                </c:pt>
                <c:pt idx="6">
                  <c:v>6</c:v>
                </c:pt>
                <c:pt idx="7">
                  <c:v>7</c:v>
                </c:pt>
                <c:pt idx="8">
                  <c:v>8</c:v>
                </c:pt>
                <c:pt idx="9">
                  <c:v>9</c:v>
                </c:pt>
                <c:pt idx="10">
                  <c:v>10</c:v>
                </c:pt>
                <c:pt idx="11">
                  <c:v>Tensión aplicada [kN]</c:v>
                </c:pt>
                <c:pt idx="12">
                  <c:v>0,5</c:v>
                </c:pt>
                <c:pt idx="13">
                  <c:v>1</c:v>
                </c:pt>
                <c:pt idx="14">
                  <c:v>2</c:v>
                </c:pt>
                <c:pt idx="15">
                  <c:v>3</c:v>
                </c:pt>
                <c:pt idx="16">
                  <c:v>4</c:v>
                </c:pt>
                <c:pt idx="17">
                  <c:v>5</c:v>
                </c:pt>
                <c:pt idx="18">
                  <c:v>6</c:v>
                </c:pt>
                <c:pt idx="19">
                  <c:v>7</c:v>
                </c:pt>
                <c:pt idx="20">
                  <c:v>8</c:v>
                </c:pt>
                <c:pt idx="21">
                  <c:v>9</c:v>
                </c:pt>
                <c:pt idx="22">
                  <c:v>10</c:v>
                </c:pt>
                <c:pt idx="23">
                  <c:v>Esfuerzo</c:v>
                </c:pt>
                <c:pt idx="24">
                  <c:v>Dezplazamiento</c:v>
                </c:pt>
              </c:strCache>
            </c:strRef>
          </c:cat>
          <c:val>
            <c:numRef>
              <c:f>('sum de desp comparadores'!$B$25:$L$25,'sum de desp comparadores'!$A$3:$N$3)</c:f>
              <c:numCache>
                <c:formatCode>0.000</c:formatCode>
                <c:ptCount val="25"/>
                <c:pt idx="0">
                  <c:v>2.1526699999999998E-3</c:v>
                </c:pt>
                <c:pt idx="1">
                  <c:v>5.3660699999999997E-3</c:v>
                </c:pt>
                <c:pt idx="2">
                  <c:v>1.018207E-2</c:v>
                </c:pt>
                <c:pt idx="3">
                  <c:v>1.5541070000000001E-2</c:v>
                </c:pt>
                <c:pt idx="4">
                  <c:v>2.090007E-2</c:v>
                </c:pt>
                <c:pt idx="5">
                  <c:v>2.6359069999999998E-2</c:v>
                </c:pt>
                <c:pt idx="6">
                  <c:v>3.1719070000000002E-2</c:v>
                </c:pt>
                <c:pt idx="7">
                  <c:v>3.7078069999999998E-2</c:v>
                </c:pt>
                <c:pt idx="8">
                  <c:v>4.2437070000000007E-2</c:v>
                </c:pt>
                <c:pt idx="9">
                  <c:v>4.7797070000000004E-2</c:v>
                </c:pt>
                <c:pt idx="10">
                  <c:v>5.3156070000000007E-2</c:v>
                </c:pt>
                <c:pt idx="11" formatCode="General">
                  <c:v>0</c:v>
                </c:pt>
                <c:pt idx="12" formatCode="0.00000">
                  <c:v>2.7878E-3</c:v>
                </c:pt>
                <c:pt idx="13" formatCode="0.00000">
                  <c:v>6.0567999999999993E-3</c:v>
                </c:pt>
                <c:pt idx="14" formatCode="0.00000">
                  <c:v>1.29228E-2</c:v>
                </c:pt>
                <c:pt idx="15" formatCode="0.00000">
                  <c:v>2.2742800000000001E-2</c:v>
                </c:pt>
                <c:pt idx="16" formatCode="0.00000">
                  <c:v>3.0912800000000001E-2</c:v>
                </c:pt>
                <c:pt idx="17" formatCode="0.00000">
                  <c:v>3.4322800000000001E-2</c:v>
                </c:pt>
                <c:pt idx="18" formatCode="0.00000">
                  <c:v>4.1312799999999997E-2</c:v>
                </c:pt>
                <c:pt idx="19" formatCode="0.00000">
                  <c:v>4.83028E-2</c:v>
                </c:pt>
                <c:pt idx="20" formatCode="0.00000">
                  <c:v>5.6942799999999995E-2</c:v>
                </c:pt>
                <c:pt idx="21" formatCode="0.00000">
                  <c:v>6.4232800000000007E-2</c:v>
                </c:pt>
                <c:pt idx="22" formatCode="0.00000">
                  <c:v>7.15528E-2</c:v>
                </c:pt>
                <c:pt idx="23" formatCode="General">
                  <c:v>0</c:v>
                </c:pt>
                <c:pt idx="24" formatCode="General">
                  <c:v>0</c:v>
                </c:pt>
              </c:numCache>
            </c:numRef>
          </c:val>
          <c:smooth val="0"/>
          <c:extLst>
            <c:ext xmlns:c16="http://schemas.microsoft.com/office/drawing/2014/chart" uri="{C3380CC4-5D6E-409C-BE32-E72D297353CC}">
              <c16:uniqueId val="{00000000-6966-4454-888D-E90A59C4C49B}"/>
            </c:ext>
          </c:extLst>
        </c:ser>
        <c:ser>
          <c:idx val="1"/>
          <c:order val="1"/>
          <c:tx>
            <c:strRef>
              <c:f>'sum de desp comparadores'!$A$27</c:f>
              <c:strCache>
                <c:ptCount val="1"/>
                <c:pt idx="0">
                  <c:v>Conjunto travesaño movil superior [Z2]</c:v>
                </c:pt>
              </c:strCache>
            </c:strRef>
          </c:tx>
          <c:spPr>
            <a:ln w="28575" cap="rnd">
              <a:solidFill>
                <a:schemeClr val="accent2"/>
              </a:solidFill>
              <a:round/>
            </a:ln>
            <a:effectLst/>
          </c:spPr>
          <c:marker>
            <c:symbol val="none"/>
          </c:marker>
          <c:cat>
            <c:strRef>
              <c:f>('sum de desp comparadores'!$B$2:$L$2,'sum de desp comparadores'!$A$2:$N$2)</c:f>
              <c:strCache>
                <c:ptCount val="25"/>
                <c:pt idx="0">
                  <c:v>0,5</c:v>
                </c:pt>
                <c:pt idx="1">
                  <c:v>1</c:v>
                </c:pt>
                <c:pt idx="2">
                  <c:v>2</c:v>
                </c:pt>
                <c:pt idx="3">
                  <c:v>3</c:v>
                </c:pt>
                <c:pt idx="4">
                  <c:v>4</c:v>
                </c:pt>
                <c:pt idx="5">
                  <c:v>5</c:v>
                </c:pt>
                <c:pt idx="6">
                  <c:v>6</c:v>
                </c:pt>
                <c:pt idx="7">
                  <c:v>7</c:v>
                </c:pt>
                <c:pt idx="8">
                  <c:v>8</c:v>
                </c:pt>
                <c:pt idx="9">
                  <c:v>9</c:v>
                </c:pt>
                <c:pt idx="10">
                  <c:v>10</c:v>
                </c:pt>
                <c:pt idx="11">
                  <c:v>Tensión aplicada [kN]</c:v>
                </c:pt>
                <c:pt idx="12">
                  <c:v>0,5</c:v>
                </c:pt>
                <c:pt idx="13">
                  <c:v>1</c:v>
                </c:pt>
                <c:pt idx="14">
                  <c:v>2</c:v>
                </c:pt>
                <c:pt idx="15">
                  <c:v>3</c:v>
                </c:pt>
                <c:pt idx="16">
                  <c:v>4</c:v>
                </c:pt>
                <c:pt idx="17">
                  <c:v>5</c:v>
                </c:pt>
                <c:pt idx="18">
                  <c:v>6</c:v>
                </c:pt>
                <c:pt idx="19">
                  <c:v>7</c:v>
                </c:pt>
                <c:pt idx="20">
                  <c:v>8</c:v>
                </c:pt>
                <c:pt idx="21">
                  <c:v>9</c:v>
                </c:pt>
                <c:pt idx="22">
                  <c:v>10</c:v>
                </c:pt>
                <c:pt idx="23">
                  <c:v>Esfuerzo</c:v>
                </c:pt>
                <c:pt idx="24">
                  <c:v>Dezplazamiento</c:v>
                </c:pt>
              </c:strCache>
            </c:strRef>
          </c:cat>
          <c:val>
            <c:numRef>
              <c:f>('sum de desp comparadores'!$B$27:$L$27,'sum de desp comparadores'!$A$4:$N$4)</c:f>
              <c:numCache>
                <c:formatCode>0.000</c:formatCode>
                <c:ptCount val="25"/>
                <c:pt idx="0">
                  <c:v>3.4822E-3</c:v>
                </c:pt>
                <c:pt idx="1">
                  <c:v>7.7812000000000011E-3</c:v>
                </c:pt>
                <c:pt idx="2">
                  <c:v>1.66012E-2</c:v>
                </c:pt>
                <c:pt idx="3">
                  <c:v>2.5567200000000002E-2</c:v>
                </c:pt>
                <c:pt idx="4">
                  <c:v>3.5114199999999998E-2</c:v>
                </c:pt>
                <c:pt idx="5">
                  <c:v>4.4452199999999997E-2</c:v>
                </c:pt>
                <c:pt idx="6">
                  <c:v>5.3893200000000009E-2</c:v>
                </c:pt>
                <c:pt idx="7">
                  <c:v>6.3383200000000001E-2</c:v>
                </c:pt>
                <c:pt idx="8">
                  <c:v>7.2733200000000012E-2</c:v>
                </c:pt>
                <c:pt idx="9">
                  <c:v>8.240320000000001E-2</c:v>
                </c:pt>
                <c:pt idx="10">
                  <c:v>9.2033199999999996E-2</c:v>
                </c:pt>
                <c:pt idx="11" formatCode="General">
                  <c:v>0</c:v>
                </c:pt>
                <c:pt idx="12" formatCode="0.00000">
                  <c:v>0</c:v>
                </c:pt>
                <c:pt idx="13" formatCode="0.00000">
                  <c:v>0</c:v>
                </c:pt>
                <c:pt idx="14" formatCode="0.00000">
                  <c:v>0</c:v>
                </c:pt>
                <c:pt idx="15" formatCode="0.00000">
                  <c:v>2.9E-5</c:v>
                </c:pt>
                <c:pt idx="16" formatCode="0.00000">
                  <c:v>3.8000000000000002E-4</c:v>
                </c:pt>
                <c:pt idx="17" formatCode="0.00000">
                  <c:v>4.8000000000000001E-4</c:v>
                </c:pt>
                <c:pt idx="18" formatCode="0.00000">
                  <c:v>5.8E-4</c:v>
                </c:pt>
                <c:pt idx="19" formatCode="0.00000">
                  <c:v>6.7000000000000002E-4</c:v>
                </c:pt>
                <c:pt idx="20" formatCode="0.00000">
                  <c:v>7.6999999999999996E-4</c:v>
                </c:pt>
                <c:pt idx="21" formatCode="0.00000">
                  <c:v>8.5999999999999998E-4</c:v>
                </c:pt>
                <c:pt idx="22" formatCode="0.00000">
                  <c:v>9.6000000000000002E-4</c:v>
                </c:pt>
                <c:pt idx="23" formatCode="General">
                  <c:v>0</c:v>
                </c:pt>
                <c:pt idx="24" formatCode="General">
                  <c:v>0</c:v>
                </c:pt>
              </c:numCache>
            </c:numRef>
          </c:val>
          <c:smooth val="0"/>
          <c:extLst>
            <c:ext xmlns:c16="http://schemas.microsoft.com/office/drawing/2014/chart" uri="{C3380CC4-5D6E-409C-BE32-E72D297353CC}">
              <c16:uniqueId val="{00000001-6966-4454-888D-E90A59C4C49B}"/>
            </c:ext>
          </c:extLst>
        </c:ser>
        <c:ser>
          <c:idx val="2"/>
          <c:order val="2"/>
          <c:tx>
            <c:strRef>
              <c:f>'sum de desp comparadores'!$A$29</c:f>
              <c:strCache>
                <c:ptCount val="1"/>
                <c:pt idx="0">
                  <c:v>Conjunto travesaño inferior [Z3]</c:v>
                </c:pt>
              </c:strCache>
            </c:strRef>
          </c:tx>
          <c:spPr>
            <a:ln w="28575" cap="rnd">
              <a:solidFill>
                <a:schemeClr val="accent1">
                  <a:lumMod val="50000"/>
                </a:schemeClr>
              </a:solidFill>
              <a:round/>
            </a:ln>
            <a:effectLst/>
          </c:spPr>
          <c:marker>
            <c:symbol val="none"/>
          </c:marker>
          <c:cat>
            <c:strRef>
              <c:f>('sum de desp comparadores'!$B$2:$L$2,'sum de desp comparadores'!$A$2:$N$2)</c:f>
              <c:strCache>
                <c:ptCount val="25"/>
                <c:pt idx="0">
                  <c:v>0,5</c:v>
                </c:pt>
                <c:pt idx="1">
                  <c:v>1</c:v>
                </c:pt>
                <c:pt idx="2">
                  <c:v>2</c:v>
                </c:pt>
                <c:pt idx="3">
                  <c:v>3</c:v>
                </c:pt>
                <c:pt idx="4">
                  <c:v>4</c:v>
                </c:pt>
                <c:pt idx="5">
                  <c:v>5</c:v>
                </c:pt>
                <c:pt idx="6">
                  <c:v>6</c:v>
                </c:pt>
                <c:pt idx="7">
                  <c:v>7</c:v>
                </c:pt>
                <c:pt idx="8">
                  <c:v>8</c:v>
                </c:pt>
                <c:pt idx="9">
                  <c:v>9</c:v>
                </c:pt>
                <c:pt idx="10">
                  <c:v>10</c:v>
                </c:pt>
                <c:pt idx="11">
                  <c:v>Tensión aplicada [kN]</c:v>
                </c:pt>
                <c:pt idx="12">
                  <c:v>0,5</c:v>
                </c:pt>
                <c:pt idx="13">
                  <c:v>1</c:v>
                </c:pt>
                <c:pt idx="14">
                  <c:v>2</c:v>
                </c:pt>
                <c:pt idx="15">
                  <c:v>3</c:v>
                </c:pt>
                <c:pt idx="16">
                  <c:v>4</c:v>
                </c:pt>
                <c:pt idx="17">
                  <c:v>5</c:v>
                </c:pt>
                <c:pt idx="18">
                  <c:v>6</c:v>
                </c:pt>
                <c:pt idx="19">
                  <c:v>7</c:v>
                </c:pt>
                <c:pt idx="20">
                  <c:v>8</c:v>
                </c:pt>
                <c:pt idx="21">
                  <c:v>9</c:v>
                </c:pt>
                <c:pt idx="22">
                  <c:v>10</c:v>
                </c:pt>
                <c:pt idx="23">
                  <c:v>Esfuerzo</c:v>
                </c:pt>
                <c:pt idx="24">
                  <c:v>Dezplazamiento</c:v>
                </c:pt>
              </c:strCache>
            </c:strRef>
          </c:cat>
          <c:val>
            <c:numRef>
              <c:f>('sum de desp comparadores'!$B$29:$L$29,'sum de desp comparadores'!$A$5:$N$5)</c:f>
              <c:numCache>
                <c:formatCode>0.000</c:formatCode>
                <c:ptCount val="25"/>
                <c:pt idx="0">
                  <c:v>5.2910000000000006E-3</c:v>
                </c:pt>
                <c:pt idx="1">
                  <c:v>1.1621000000000001E-2</c:v>
                </c:pt>
                <c:pt idx="2">
                  <c:v>2.3753E-2</c:v>
                </c:pt>
                <c:pt idx="3">
                  <c:v>3.4877999999999999E-2</c:v>
                </c:pt>
                <c:pt idx="4">
                  <c:v>4.6330999999999997E-2</c:v>
                </c:pt>
                <c:pt idx="5">
                  <c:v>5.7620999999999999E-2</c:v>
                </c:pt>
                <c:pt idx="6">
                  <c:v>6.9060999999999997E-2</c:v>
                </c:pt>
                <c:pt idx="7">
                  <c:v>8.0620999999999998E-2</c:v>
                </c:pt>
                <c:pt idx="8">
                  <c:v>9.2251E-2</c:v>
                </c:pt>
                <c:pt idx="9">
                  <c:v>0.104211</c:v>
                </c:pt>
                <c:pt idx="10">
                  <c:v>0.11830100000000002</c:v>
                </c:pt>
                <c:pt idx="11" formatCode="General">
                  <c:v>0</c:v>
                </c:pt>
                <c:pt idx="12" formatCode="0.00000">
                  <c:v>4.999999999999999E-4</c:v>
                </c:pt>
                <c:pt idx="13" formatCode="0.00000">
                  <c:v>1E-3</c:v>
                </c:pt>
                <c:pt idx="14" formatCode="0.00000">
                  <c:v>2.1000000000000003E-3</c:v>
                </c:pt>
                <c:pt idx="15" formatCode="0.00000">
                  <c:v>3.2000000000000002E-3</c:v>
                </c:pt>
                <c:pt idx="16" formatCode="0.00000">
                  <c:v>4.3999999999999994E-3</c:v>
                </c:pt>
                <c:pt idx="17" formatCode="0.00000">
                  <c:v>5.4999999999999997E-3</c:v>
                </c:pt>
                <c:pt idx="18" formatCode="0.00000">
                  <c:v>6.6E-3</c:v>
                </c:pt>
                <c:pt idx="19" formatCode="0.00000">
                  <c:v>7.6999999999999994E-3</c:v>
                </c:pt>
                <c:pt idx="20" formatCode="0.00000">
                  <c:v>8.8000000000000005E-3</c:v>
                </c:pt>
                <c:pt idx="21" formatCode="0.00000">
                  <c:v>9.9000000000000008E-3</c:v>
                </c:pt>
                <c:pt idx="22" formatCode="0.00000">
                  <c:v>1.1000000000000001E-2</c:v>
                </c:pt>
                <c:pt idx="23" formatCode="General">
                  <c:v>0</c:v>
                </c:pt>
                <c:pt idx="24" formatCode="General">
                  <c:v>0</c:v>
                </c:pt>
              </c:numCache>
            </c:numRef>
          </c:val>
          <c:smooth val="0"/>
          <c:extLst>
            <c:ext xmlns:c16="http://schemas.microsoft.com/office/drawing/2014/chart" uri="{C3380CC4-5D6E-409C-BE32-E72D297353CC}">
              <c16:uniqueId val="{00000002-6966-4454-888D-E90A59C4C49B}"/>
            </c:ext>
          </c:extLst>
        </c:ser>
        <c:ser>
          <c:idx val="3"/>
          <c:order val="3"/>
          <c:tx>
            <c:strRef>
              <c:f>'sum de desp comparadores'!$A$31</c:f>
              <c:strCache>
                <c:ptCount val="1"/>
                <c:pt idx="0">
                  <c:v>Conjunto Mordaza inferior [Z4]</c:v>
                </c:pt>
              </c:strCache>
            </c:strRef>
          </c:tx>
          <c:spPr>
            <a:ln w="28575" cap="rnd" cmpd="sng">
              <a:solidFill>
                <a:srgbClr val="00B050"/>
              </a:solidFill>
              <a:prstDash val="solid"/>
              <a:round/>
            </a:ln>
            <a:effectLst/>
          </c:spPr>
          <c:marker>
            <c:symbol val="none"/>
          </c:marker>
          <c:cat>
            <c:strRef>
              <c:f>('sum de desp comparadores'!$B$2:$L$2,'sum de desp comparadores'!$A$2:$N$2)</c:f>
              <c:strCache>
                <c:ptCount val="25"/>
                <c:pt idx="0">
                  <c:v>0,5</c:v>
                </c:pt>
                <c:pt idx="1">
                  <c:v>1</c:v>
                </c:pt>
                <c:pt idx="2">
                  <c:v>2</c:v>
                </c:pt>
                <c:pt idx="3">
                  <c:v>3</c:v>
                </c:pt>
                <c:pt idx="4">
                  <c:v>4</c:v>
                </c:pt>
                <c:pt idx="5">
                  <c:v>5</c:v>
                </c:pt>
                <c:pt idx="6">
                  <c:v>6</c:v>
                </c:pt>
                <c:pt idx="7">
                  <c:v>7</c:v>
                </c:pt>
                <c:pt idx="8">
                  <c:v>8</c:v>
                </c:pt>
                <c:pt idx="9">
                  <c:v>9</c:v>
                </c:pt>
                <c:pt idx="10">
                  <c:v>10</c:v>
                </c:pt>
                <c:pt idx="11">
                  <c:v>Tensión aplicada [kN]</c:v>
                </c:pt>
                <c:pt idx="12">
                  <c:v>0,5</c:v>
                </c:pt>
                <c:pt idx="13">
                  <c:v>1</c:v>
                </c:pt>
                <c:pt idx="14">
                  <c:v>2</c:v>
                </c:pt>
                <c:pt idx="15">
                  <c:v>3</c:v>
                </c:pt>
                <c:pt idx="16">
                  <c:v>4</c:v>
                </c:pt>
                <c:pt idx="17">
                  <c:v>5</c:v>
                </c:pt>
                <c:pt idx="18">
                  <c:v>6</c:v>
                </c:pt>
                <c:pt idx="19">
                  <c:v>7</c:v>
                </c:pt>
                <c:pt idx="20">
                  <c:v>8</c:v>
                </c:pt>
                <c:pt idx="21">
                  <c:v>9</c:v>
                </c:pt>
                <c:pt idx="22">
                  <c:v>10</c:v>
                </c:pt>
                <c:pt idx="23">
                  <c:v>Esfuerzo</c:v>
                </c:pt>
                <c:pt idx="24">
                  <c:v>Dezplazamiento</c:v>
                </c:pt>
              </c:strCache>
            </c:strRef>
          </c:cat>
          <c:val>
            <c:numRef>
              <c:f>('sum de desp comparadores'!$B$31:$L$31,'sum de desp comparadores'!$A$6:$N$6)</c:f>
              <c:numCache>
                <c:formatCode>0.000</c:formatCode>
                <c:ptCount val="25"/>
                <c:pt idx="0">
                  <c:v>2.7878E-3</c:v>
                </c:pt>
                <c:pt idx="1">
                  <c:v>6.0567999999999993E-3</c:v>
                </c:pt>
                <c:pt idx="2">
                  <c:v>1.29228E-2</c:v>
                </c:pt>
                <c:pt idx="3">
                  <c:v>2.2742800000000001E-2</c:v>
                </c:pt>
                <c:pt idx="4">
                  <c:v>3.0912800000000001E-2</c:v>
                </c:pt>
                <c:pt idx="5">
                  <c:v>3.4322800000000001E-2</c:v>
                </c:pt>
                <c:pt idx="6">
                  <c:v>4.1312799999999997E-2</c:v>
                </c:pt>
                <c:pt idx="7">
                  <c:v>4.83028E-2</c:v>
                </c:pt>
                <c:pt idx="8">
                  <c:v>5.6942799999999995E-2</c:v>
                </c:pt>
                <c:pt idx="9">
                  <c:v>6.4232800000000007E-2</c:v>
                </c:pt>
                <c:pt idx="10">
                  <c:v>7.15528E-2</c:v>
                </c:pt>
                <c:pt idx="11" formatCode="General">
                  <c:v>0</c:v>
                </c:pt>
                <c:pt idx="12" formatCode="0.00000">
                  <c:v>8.3099999999999992E-4</c:v>
                </c:pt>
                <c:pt idx="13" formatCode="0.00000">
                  <c:v>1.8809999999999999E-3</c:v>
                </c:pt>
                <c:pt idx="14" formatCode="0.00000">
                  <c:v>3.9709999999999997E-3</c:v>
                </c:pt>
                <c:pt idx="15" formatCode="0.00000">
                  <c:v>6.0610000000000004E-3</c:v>
                </c:pt>
                <c:pt idx="16" formatCode="0.00000">
                  <c:v>8.1509999999999985E-3</c:v>
                </c:pt>
                <c:pt idx="17" formatCode="0.00000">
                  <c:v>1.0190999999999999E-2</c:v>
                </c:pt>
                <c:pt idx="18" formatCode="0.00000">
                  <c:v>1.2291E-2</c:v>
                </c:pt>
                <c:pt idx="19" formatCode="0.00000">
                  <c:v>1.4390999999999999E-2</c:v>
                </c:pt>
                <c:pt idx="20" formatCode="0.00000">
                  <c:v>1.6490999999999999E-2</c:v>
                </c:pt>
                <c:pt idx="21" formatCode="0.00000">
                  <c:v>1.8591E-2</c:v>
                </c:pt>
                <c:pt idx="22" formatCode="0.00000">
                  <c:v>2.0690999999999998E-2</c:v>
                </c:pt>
                <c:pt idx="23" formatCode="General">
                  <c:v>0</c:v>
                </c:pt>
                <c:pt idx="24" formatCode="General">
                  <c:v>0</c:v>
                </c:pt>
              </c:numCache>
            </c:numRef>
          </c:val>
          <c:smooth val="0"/>
          <c:extLst>
            <c:ext xmlns:c16="http://schemas.microsoft.com/office/drawing/2014/chart" uri="{C3380CC4-5D6E-409C-BE32-E72D297353CC}">
              <c16:uniqueId val="{00000003-6966-4454-888D-E90A59C4C49B}"/>
            </c:ext>
          </c:extLst>
        </c:ser>
        <c:ser>
          <c:idx val="4"/>
          <c:order val="4"/>
          <c:tx>
            <c:strRef>
              <c:f>'sum de desp comparadores'!$A$32</c:f>
              <c:strCache>
                <c:ptCount val="1"/>
                <c:pt idx="0">
                  <c:v>Conjunto Mordaza superior [Z4]</c:v>
                </c:pt>
              </c:strCache>
            </c:strRef>
          </c:tx>
          <c:spPr>
            <a:ln w="28575" cap="rnd">
              <a:solidFill>
                <a:srgbClr val="00B050"/>
              </a:solidFill>
              <a:round/>
            </a:ln>
            <a:effectLst/>
          </c:spPr>
          <c:marker>
            <c:symbol val="none"/>
          </c:marker>
          <c:cat>
            <c:strRef>
              <c:f>('sum de desp comparadores'!$B$2:$L$2,'sum de desp comparadores'!$A$2:$N$2)</c:f>
              <c:strCache>
                <c:ptCount val="25"/>
                <c:pt idx="0">
                  <c:v>0,5</c:v>
                </c:pt>
                <c:pt idx="1">
                  <c:v>1</c:v>
                </c:pt>
                <c:pt idx="2">
                  <c:v>2</c:v>
                </c:pt>
                <c:pt idx="3">
                  <c:v>3</c:v>
                </c:pt>
                <c:pt idx="4">
                  <c:v>4</c:v>
                </c:pt>
                <c:pt idx="5">
                  <c:v>5</c:v>
                </c:pt>
                <c:pt idx="6">
                  <c:v>6</c:v>
                </c:pt>
                <c:pt idx="7">
                  <c:v>7</c:v>
                </c:pt>
                <c:pt idx="8">
                  <c:v>8</c:v>
                </c:pt>
                <c:pt idx="9">
                  <c:v>9</c:v>
                </c:pt>
                <c:pt idx="10">
                  <c:v>10</c:v>
                </c:pt>
                <c:pt idx="11">
                  <c:v>Tensión aplicada [kN]</c:v>
                </c:pt>
                <c:pt idx="12">
                  <c:v>0,5</c:v>
                </c:pt>
                <c:pt idx="13">
                  <c:v>1</c:v>
                </c:pt>
                <c:pt idx="14">
                  <c:v>2</c:v>
                </c:pt>
                <c:pt idx="15">
                  <c:v>3</c:v>
                </c:pt>
                <c:pt idx="16">
                  <c:v>4</c:v>
                </c:pt>
                <c:pt idx="17">
                  <c:v>5</c:v>
                </c:pt>
                <c:pt idx="18">
                  <c:v>6</c:v>
                </c:pt>
                <c:pt idx="19">
                  <c:v>7</c:v>
                </c:pt>
                <c:pt idx="20">
                  <c:v>8</c:v>
                </c:pt>
                <c:pt idx="21">
                  <c:v>9</c:v>
                </c:pt>
                <c:pt idx="22">
                  <c:v>10</c:v>
                </c:pt>
                <c:pt idx="23">
                  <c:v>Esfuerzo</c:v>
                </c:pt>
                <c:pt idx="24">
                  <c:v>Dezplazamiento</c:v>
                </c:pt>
              </c:strCache>
            </c:strRef>
          </c:cat>
          <c:val>
            <c:numRef>
              <c:f>('sum de desp comparadores'!$B$32:$L$32,'sum de desp comparadores'!$A$7:$N$7)</c:f>
              <c:numCache>
                <c:formatCode>0.000</c:formatCode>
                <c:ptCount val="25"/>
                <c:pt idx="0">
                  <c:v>2.7878E-3</c:v>
                </c:pt>
                <c:pt idx="1">
                  <c:v>6.0567999999999993E-3</c:v>
                </c:pt>
                <c:pt idx="2">
                  <c:v>1.29228E-2</c:v>
                </c:pt>
                <c:pt idx="3">
                  <c:v>2.2742800000000001E-2</c:v>
                </c:pt>
                <c:pt idx="4">
                  <c:v>3.0912800000000001E-2</c:v>
                </c:pt>
                <c:pt idx="5">
                  <c:v>3.4322800000000001E-2</c:v>
                </c:pt>
                <c:pt idx="6">
                  <c:v>4.1312799999999997E-2</c:v>
                </c:pt>
                <c:pt idx="7">
                  <c:v>4.83028E-2</c:v>
                </c:pt>
                <c:pt idx="8">
                  <c:v>5.6942799999999995E-2</c:v>
                </c:pt>
                <c:pt idx="9">
                  <c:v>6.4232800000000007E-2</c:v>
                </c:pt>
                <c:pt idx="10">
                  <c:v>7.15528E-2</c:v>
                </c:pt>
                <c:pt idx="11" formatCode="General">
                  <c:v>0</c:v>
                </c:pt>
                <c:pt idx="12" formatCode="General">
                  <c:v>1.5000000000000001E-4</c:v>
                </c:pt>
                <c:pt idx="13" formatCode="General">
                  <c:v>3.3E-4</c:v>
                </c:pt>
                <c:pt idx="14" formatCode="General">
                  <c:v>7.1000000000000002E-4</c:v>
                </c:pt>
                <c:pt idx="15" formatCode="General">
                  <c:v>1.0799999999999998E-3</c:v>
                </c:pt>
                <c:pt idx="16" formatCode="General">
                  <c:v>1.4599999999999999E-3</c:v>
                </c:pt>
                <c:pt idx="17" formatCode="General">
                  <c:v>1.8299999999999998E-3</c:v>
                </c:pt>
                <c:pt idx="18" formatCode="General">
                  <c:v>2.1999999999999997E-3</c:v>
                </c:pt>
                <c:pt idx="19" formatCode="General">
                  <c:v>2.5799999999999998E-3</c:v>
                </c:pt>
                <c:pt idx="20" formatCode="General">
                  <c:v>2.9499999999999999E-3</c:v>
                </c:pt>
                <c:pt idx="21" formatCode="General">
                  <c:v>3.3300000000000001E-3</c:v>
                </c:pt>
                <c:pt idx="22" formatCode="General">
                  <c:v>3.6999999999999997E-3</c:v>
                </c:pt>
                <c:pt idx="23" formatCode="General">
                  <c:v>0</c:v>
                </c:pt>
                <c:pt idx="24" formatCode="General">
                  <c:v>0</c:v>
                </c:pt>
              </c:numCache>
            </c:numRef>
          </c:val>
          <c:smooth val="0"/>
          <c:extLst>
            <c:ext xmlns:c16="http://schemas.microsoft.com/office/drawing/2014/chart" uri="{C3380CC4-5D6E-409C-BE32-E72D297353CC}">
              <c16:uniqueId val="{00000004-6966-4454-888D-E90A59C4C49B}"/>
            </c:ext>
          </c:extLst>
        </c:ser>
        <c:dLbls>
          <c:showLegendKey val="0"/>
          <c:showVal val="0"/>
          <c:showCatName val="0"/>
          <c:showSerName val="0"/>
          <c:showPercent val="0"/>
          <c:showBubbleSize val="0"/>
        </c:dLbls>
        <c:smooth val="0"/>
        <c:axId val="526036576"/>
        <c:axId val="526037056"/>
      </c:lineChart>
      <c:catAx>
        <c:axId val="526036576"/>
        <c:scaling>
          <c:orientation val="minMax"/>
        </c:scaling>
        <c:delete val="0"/>
        <c:axPos val="b"/>
        <c:majorGridlines>
          <c:spPr>
            <a:ln w="6350" cap="flat" cmpd="sng" algn="ctr">
              <a:solidFill>
                <a:schemeClr val="bg1">
                  <a:lumMod val="95000"/>
                </a:schemeClr>
              </a:solidFill>
              <a:round/>
            </a:ln>
            <a:effectLst/>
          </c:spPr>
        </c:majorGridlines>
        <c:minorGridlines>
          <c:spPr>
            <a:ln w="9525" cap="flat" cmpd="sng" algn="ctr">
              <a:solidFill>
                <a:schemeClr val="bg1">
                  <a:lumMod val="7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sz="1000" b="1" i="0" u="none" strike="noStrike" kern="1200" baseline="0">
                    <a:solidFill>
                      <a:sysClr val="windowText" lastClr="000000">
                        <a:lumMod val="65000"/>
                        <a:lumOff val="35000"/>
                      </a:sysClr>
                    </a:solidFill>
                  </a:rPr>
                  <a:t>Fuerza de tensión en [kN]</a:t>
                </a:r>
              </a:p>
            </c:rich>
          </c:tx>
          <c:layout>
            <c:manualLayout>
              <c:xMode val="edge"/>
              <c:yMode val="edge"/>
              <c:x val="0.41876981981981981"/>
              <c:y val="0.870633333333333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26037056"/>
        <c:crosses val="autoZero"/>
        <c:auto val="1"/>
        <c:lblAlgn val="ctr"/>
        <c:lblOffset val="100"/>
        <c:noMultiLvlLbl val="0"/>
      </c:catAx>
      <c:valAx>
        <c:axId val="526037056"/>
        <c:scaling>
          <c:orientation val="minMax"/>
          <c:max val="0.1200000000000000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sz="1000" b="1" i="0" u="none" strike="noStrike" kern="1200" baseline="0">
                    <a:solidFill>
                      <a:sysClr val="windowText" lastClr="000000">
                        <a:lumMod val="65000"/>
                        <a:lumOff val="35000"/>
                      </a:sysClr>
                    </a:solidFill>
                  </a:rPr>
                  <a:t>Desplazamiento longitudinal [mm]</a:t>
                </a:r>
              </a:p>
            </c:rich>
          </c:tx>
          <c:layout>
            <c:manualLayout>
              <c:xMode val="edge"/>
              <c:yMode val="edge"/>
              <c:x val="1.5255255255255255E-2"/>
              <c:y val="0.288262268518518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26036576"/>
        <c:crosses val="autoZero"/>
        <c:crossBetween val="between"/>
        <c:majorUnit val="1.0000000000000002E-2"/>
        <c:minorUnit val="5.000000000000001E-3"/>
      </c:valAx>
      <c:spPr>
        <a:noFill/>
        <a:ln>
          <a:noFill/>
        </a:ln>
        <a:effectLst/>
      </c:spPr>
    </c:plotArea>
    <c:legend>
      <c:legendPos val="b"/>
      <c:layout>
        <c:manualLayout>
          <c:xMode val="edge"/>
          <c:yMode val="edge"/>
          <c:x val="0"/>
          <c:y val="0.91908055555555546"/>
          <c:w val="1"/>
          <c:h val="7.73916666666666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1" i="0" u="none" strike="noStrike" kern="1200" cap="none" spc="0" normalizeH="0" baseline="0">
                <a:solidFill>
                  <a:sysClr val="windowText" lastClr="000000">
                    <a:lumMod val="50000"/>
                    <a:lumOff val="50000"/>
                  </a:sysClr>
                </a:solidFill>
              </a:rPr>
              <a:t>Desplazamientos longitudinales medidos por comparador [mm]</a:t>
            </a:r>
            <a:endParaRPr lang="en-US" sz="14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815015015015"/>
          <c:y val="6.3500000000000001E-2"/>
          <c:w val="0.892184984984985"/>
          <c:h val="0.79949486111111112"/>
        </c:manualLayout>
      </c:layout>
      <c:lineChart>
        <c:grouping val="standard"/>
        <c:varyColors val="0"/>
        <c:ser>
          <c:idx val="0"/>
          <c:order val="0"/>
          <c:tx>
            <c:strRef>
              <c:f>'sum de desp comparadores'!$A$26</c:f>
              <c:strCache>
                <c:ptCount val="1"/>
                <c:pt idx="0">
                  <c:v>Medicion teórica del comparador 1</c:v>
                </c:pt>
              </c:strCache>
            </c:strRef>
          </c:tx>
          <c:spPr>
            <a:ln w="28575" cap="rnd">
              <a:solidFill>
                <a:srgbClr val="00B0F0"/>
              </a:solidFill>
              <a:round/>
            </a:ln>
            <a:effectLst/>
          </c:spPr>
          <c:marker>
            <c:symbol val="none"/>
          </c:marker>
          <c:val>
            <c:numRef>
              <c:f>'sum de desp comparadores'!$B$26:$L$26</c:f>
              <c:numCache>
                <c:formatCode>0.000</c:formatCode>
                <c:ptCount val="11"/>
                <c:pt idx="0">
                  <c:v>2.5681800000000005E-2</c:v>
                </c:pt>
                <c:pt idx="1">
                  <c:v>5.6928800000000002E-2</c:v>
                </c:pt>
                <c:pt idx="2">
                  <c:v>0.11989279999999998</c:v>
                </c:pt>
                <c:pt idx="3">
                  <c:v>0.18779380000000001</c:v>
                </c:pt>
                <c:pt idx="4">
                  <c:v>0.25331379999999998</c:v>
                </c:pt>
                <c:pt idx="5">
                  <c:v>0.3090618</c:v>
                </c:pt>
                <c:pt idx="6">
                  <c:v>0.37202279999999999</c:v>
                </c:pt>
                <c:pt idx="7">
                  <c:v>0.4352528</c:v>
                </c:pt>
                <c:pt idx="8">
                  <c:v>0.50181279999999995</c:v>
                </c:pt>
                <c:pt idx="9">
                  <c:v>0.56622280000000003</c:v>
                </c:pt>
                <c:pt idx="10">
                  <c:v>0.63278279999999998</c:v>
                </c:pt>
              </c:numCache>
            </c:numRef>
          </c:val>
          <c:smooth val="0"/>
          <c:extLst>
            <c:ext xmlns:c16="http://schemas.microsoft.com/office/drawing/2014/chart" uri="{C3380CC4-5D6E-409C-BE32-E72D297353CC}">
              <c16:uniqueId val="{0000000C-7D1A-4298-9099-E7AB6326A7C7}"/>
            </c:ext>
          </c:extLst>
        </c:ser>
        <c:ser>
          <c:idx val="1"/>
          <c:order val="1"/>
          <c:tx>
            <c:strRef>
              <c:f>'sum de desp comparadores'!$A$28</c:f>
              <c:strCache>
                <c:ptCount val="1"/>
                <c:pt idx="0">
                  <c:v>Medicion teórica del comparador 2</c:v>
                </c:pt>
              </c:strCache>
            </c:strRef>
          </c:tx>
          <c:spPr>
            <a:ln w="28575" cap="rnd">
              <a:solidFill>
                <a:schemeClr val="bg1">
                  <a:lumMod val="65000"/>
                </a:schemeClr>
              </a:solidFill>
              <a:prstDash val="solid"/>
              <a:round/>
            </a:ln>
            <a:effectLst/>
          </c:spPr>
          <c:marker>
            <c:symbol val="none"/>
          </c:marker>
          <c:cat>
            <c:numRef>
              <c:f>'sum de desp comparadores'!$B$2:$L$2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 de desp comparadores'!$B$28:$L$28</c:f>
              <c:numCache>
                <c:formatCode>0.000</c:formatCode>
                <c:ptCount val="11"/>
                <c:pt idx="0">
                  <c:v>3.4822E-3</c:v>
                </c:pt>
                <c:pt idx="1">
                  <c:v>7.7812000000000011E-3</c:v>
                </c:pt>
                <c:pt idx="2">
                  <c:v>1.66012E-2</c:v>
                </c:pt>
                <c:pt idx="3">
                  <c:v>2.5567200000000002E-2</c:v>
                </c:pt>
                <c:pt idx="4">
                  <c:v>3.5114199999999998E-2</c:v>
                </c:pt>
                <c:pt idx="5">
                  <c:v>4.4452199999999997E-2</c:v>
                </c:pt>
                <c:pt idx="6">
                  <c:v>5.3893200000000009E-2</c:v>
                </c:pt>
                <c:pt idx="7">
                  <c:v>6.3383200000000001E-2</c:v>
                </c:pt>
                <c:pt idx="8">
                  <c:v>7.2733200000000012E-2</c:v>
                </c:pt>
                <c:pt idx="9">
                  <c:v>8.240320000000001E-2</c:v>
                </c:pt>
                <c:pt idx="10">
                  <c:v>9.2033199999999996E-2</c:v>
                </c:pt>
              </c:numCache>
            </c:numRef>
          </c:val>
          <c:smooth val="0"/>
          <c:extLst>
            <c:ext xmlns:c16="http://schemas.microsoft.com/office/drawing/2014/chart" uri="{C3380CC4-5D6E-409C-BE32-E72D297353CC}">
              <c16:uniqueId val="{0000000A-7D1A-4298-9099-E7AB6326A7C7}"/>
            </c:ext>
          </c:extLst>
        </c:ser>
        <c:ser>
          <c:idx val="2"/>
          <c:order val="2"/>
          <c:tx>
            <c:strRef>
              <c:f>'sum de desp comparadores'!$A$30</c:f>
              <c:strCache>
                <c:ptCount val="1"/>
                <c:pt idx="0">
                  <c:v>Medicion teórica del comparador 3</c:v>
                </c:pt>
              </c:strCache>
            </c:strRef>
          </c:tx>
          <c:spPr>
            <a:ln w="28575" cap="rnd">
              <a:solidFill>
                <a:srgbClr val="FF66CC"/>
              </a:solidFill>
              <a:round/>
            </a:ln>
            <a:effectLst/>
          </c:spPr>
          <c:marker>
            <c:symbol val="none"/>
          </c:marker>
          <c:cat>
            <c:numRef>
              <c:f>'sum de desp comparadores'!$B$2:$L$2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 de desp comparadores'!$B$30:$L$30</c:f>
              <c:numCache>
                <c:formatCode>0.000</c:formatCode>
                <c:ptCount val="11"/>
                <c:pt idx="0">
                  <c:v>5.2910000000000006E-3</c:v>
                </c:pt>
                <c:pt idx="1">
                  <c:v>1.1621000000000001E-2</c:v>
                </c:pt>
                <c:pt idx="2">
                  <c:v>2.3753E-2</c:v>
                </c:pt>
                <c:pt idx="3">
                  <c:v>3.4877999999999999E-2</c:v>
                </c:pt>
                <c:pt idx="4">
                  <c:v>4.6330999999999997E-2</c:v>
                </c:pt>
                <c:pt idx="5">
                  <c:v>5.7620999999999999E-2</c:v>
                </c:pt>
                <c:pt idx="6">
                  <c:v>6.9060999999999997E-2</c:v>
                </c:pt>
                <c:pt idx="7">
                  <c:v>8.0620999999999998E-2</c:v>
                </c:pt>
                <c:pt idx="8">
                  <c:v>9.2251E-2</c:v>
                </c:pt>
                <c:pt idx="9">
                  <c:v>0.104211</c:v>
                </c:pt>
                <c:pt idx="10">
                  <c:v>0.11830100000000002</c:v>
                </c:pt>
              </c:numCache>
            </c:numRef>
          </c:val>
          <c:smooth val="0"/>
          <c:extLst>
            <c:ext xmlns:c16="http://schemas.microsoft.com/office/drawing/2014/chart" uri="{C3380CC4-5D6E-409C-BE32-E72D297353CC}">
              <c16:uniqueId val="{00000007-7D1A-4298-9099-E7AB6326A7C7}"/>
            </c:ext>
          </c:extLst>
        </c:ser>
        <c:ser>
          <c:idx val="3"/>
          <c:order val="3"/>
          <c:tx>
            <c:strRef>
              <c:f>'sum de desp comparadores'!$A$33</c:f>
              <c:strCache>
                <c:ptCount val="1"/>
                <c:pt idx="0">
                  <c:v>Medicion teórica del comparador 4</c:v>
                </c:pt>
              </c:strCache>
            </c:strRef>
          </c:tx>
          <c:spPr>
            <a:ln w="28575" cap="rnd">
              <a:solidFill>
                <a:schemeClr val="accent6">
                  <a:lumMod val="40000"/>
                  <a:lumOff val="60000"/>
                </a:schemeClr>
              </a:solidFill>
              <a:round/>
            </a:ln>
            <a:effectLst/>
          </c:spPr>
          <c:marker>
            <c:symbol val="none"/>
          </c:marker>
          <c:cat>
            <c:numRef>
              <c:f>'sum de desp comparadores'!$B$2:$L$2</c:f>
              <c:numCache>
                <c:formatCode>General</c:formatCode>
                <c:ptCount val="11"/>
                <c:pt idx="0">
                  <c:v>0.5</c:v>
                </c:pt>
                <c:pt idx="1">
                  <c:v>1</c:v>
                </c:pt>
                <c:pt idx="2">
                  <c:v>2</c:v>
                </c:pt>
                <c:pt idx="3">
                  <c:v>3</c:v>
                </c:pt>
                <c:pt idx="4">
                  <c:v>4</c:v>
                </c:pt>
                <c:pt idx="5">
                  <c:v>5</c:v>
                </c:pt>
                <c:pt idx="6">
                  <c:v>6</c:v>
                </c:pt>
                <c:pt idx="7">
                  <c:v>7</c:v>
                </c:pt>
                <c:pt idx="8">
                  <c:v>8</c:v>
                </c:pt>
                <c:pt idx="9">
                  <c:v>9</c:v>
                </c:pt>
                <c:pt idx="10">
                  <c:v>10</c:v>
                </c:pt>
              </c:numCache>
            </c:numRef>
          </c:cat>
          <c:val>
            <c:numRef>
              <c:f>'sum de desp comparadores'!$B$33:$L$33</c:f>
              <c:numCache>
                <c:formatCode>0.000</c:formatCode>
                <c:ptCount val="11"/>
                <c:pt idx="0">
                  <c:v>8.0788000000000006E-3</c:v>
                </c:pt>
                <c:pt idx="1">
                  <c:v>1.76778E-2</c:v>
                </c:pt>
                <c:pt idx="2">
                  <c:v>3.6675800000000001E-2</c:v>
                </c:pt>
                <c:pt idx="3">
                  <c:v>5.76208E-2</c:v>
                </c:pt>
                <c:pt idx="4">
                  <c:v>7.7243800000000001E-2</c:v>
                </c:pt>
                <c:pt idx="5">
                  <c:v>9.1943799999999992E-2</c:v>
                </c:pt>
                <c:pt idx="6">
                  <c:v>0.11037379999999999</c:v>
                </c:pt>
                <c:pt idx="7">
                  <c:v>0.12892380000000001</c:v>
                </c:pt>
                <c:pt idx="8">
                  <c:v>0.14919379999999999</c:v>
                </c:pt>
                <c:pt idx="9">
                  <c:v>0.1684438</c:v>
                </c:pt>
                <c:pt idx="10">
                  <c:v>0.18985380000000002</c:v>
                </c:pt>
              </c:numCache>
            </c:numRef>
          </c:val>
          <c:smooth val="0"/>
          <c:extLst>
            <c:ext xmlns:c16="http://schemas.microsoft.com/office/drawing/2014/chart" uri="{C3380CC4-5D6E-409C-BE32-E72D297353CC}">
              <c16:uniqueId val="{00000008-7D1A-4298-9099-E7AB6326A7C7}"/>
            </c:ext>
          </c:extLst>
        </c:ser>
        <c:ser>
          <c:idx val="4"/>
          <c:order val="4"/>
          <c:tx>
            <c:strRef>
              <c:f>'sum de desp comparadores'!$A$36</c:f>
              <c:strCache>
                <c:ptCount val="1"/>
                <c:pt idx="0">
                  <c:v>Resolución del comparador</c:v>
                </c:pt>
              </c:strCache>
            </c:strRef>
          </c:tx>
          <c:spPr>
            <a:ln w="28575" cap="rnd">
              <a:solidFill>
                <a:srgbClr val="FF0000"/>
              </a:solidFill>
              <a:prstDash val="sysDash"/>
              <a:round/>
            </a:ln>
            <a:effectLst/>
          </c:spPr>
          <c:marker>
            <c:symbol val="none"/>
          </c:marker>
          <c:val>
            <c:numRef>
              <c:f>'sum de desp comparadores'!$B$36:$L$36</c:f>
              <c:numCache>
                <c:formatCode>General</c:formatCode>
                <c:ptCount val="11"/>
                <c:pt idx="0">
                  <c:v>0.01</c:v>
                </c:pt>
                <c:pt idx="1">
                  <c:v>0.01</c:v>
                </c:pt>
                <c:pt idx="2">
                  <c:v>0.01</c:v>
                </c:pt>
                <c:pt idx="3">
                  <c:v>0.01</c:v>
                </c:pt>
                <c:pt idx="4">
                  <c:v>0.01</c:v>
                </c:pt>
                <c:pt idx="5">
                  <c:v>0.01</c:v>
                </c:pt>
                <c:pt idx="6">
                  <c:v>0.01</c:v>
                </c:pt>
                <c:pt idx="7">
                  <c:v>0.01</c:v>
                </c:pt>
                <c:pt idx="8">
                  <c:v>0.01</c:v>
                </c:pt>
                <c:pt idx="9">
                  <c:v>0.01</c:v>
                </c:pt>
                <c:pt idx="10">
                  <c:v>0.01</c:v>
                </c:pt>
              </c:numCache>
            </c:numRef>
          </c:val>
          <c:smooth val="0"/>
          <c:extLst>
            <c:ext xmlns:c16="http://schemas.microsoft.com/office/drawing/2014/chart" uri="{C3380CC4-5D6E-409C-BE32-E72D297353CC}">
              <c16:uniqueId val="{0000000B-7D1A-4298-9099-E7AB6326A7C7}"/>
            </c:ext>
          </c:extLst>
        </c:ser>
        <c:dLbls>
          <c:showLegendKey val="0"/>
          <c:showVal val="0"/>
          <c:showCatName val="0"/>
          <c:showSerName val="0"/>
          <c:showPercent val="0"/>
          <c:showBubbleSize val="0"/>
        </c:dLbls>
        <c:smooth val="0"/>
        <c:axId val="526036576"/>
        <c:axId val="526037056"/>
      </c:lineChart>
      <c:catAx>
        <c:axId val="526036576"/>
        <c:scaling>
          <c:orientation val="minMax"/>
        </c:scaling>
        <c:delete val="0"/>
        <c:axPos val="b"/>
        <c:majorGridlines>
          <c:spPr>
            <a:ln w="6350" cap="flat" cmpd="sng" algn="ctr">
              <a:solidFill>
                <a:schemeClr val="bg1">
                  <a:lumMod val="95000"/>
                </a:schemeClr>
              </a:solidFill>
              <a:round/>
            </a:ln>
            <a:effectLst/>
          </c:spPr>
        </c:majorGridlines>
        <c:minorGridlines>
          <c:spPr>
            <a:ln w="9525" cap="flat" cmpd="sng" algn="ctr">
              <a:solidFill>
                <a:schemeClr val="bg1">
                  <a:lumMod val="7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sz="1000" b="1" i="0" u="none" strike="noStrike" kern="1200" baseline="0">
                    <a:solidFill>
                      <a:sysClr val="windowText" lastClr="000000">
                        <a:lumMod val="65000"/>
                        <a:lumOff val="35000"/>
                      </a:sysClr>
                    </a:solidFill>
                  </a:rPr>
                  <a:t>Fuerza de tensión en [kN]</a:t>
                </a:r>
              </a:p>
            </c:rich>
          </c:tx>
          <c:layout>
            <c:manualLayout>
              <c:xMode val="edge"/>
              <c:yMode val="edge"/>
              <c:x val="0.41495600600600602"/>
              <c:y val="0.886508333333333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26037056"/>
        <c:crosses val="autoZero"/>
        <c:auto val="1"/>
        <c:lblAlgn val="ctr"/>
        <c:lblOffset val="100"/>
        <c:noMultiLvlLbl val="0"/>
      </c:catAx>
      <c:valAx>
        <c:axId val="526037056"/>
        <c:scaling>
          <c:orientation val="minMax"/>
          <c:max val="0.65000000000000013"/>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sz="1000" b="1" i="0" u="none" strike="noStrike" kern="1200" baseline="0">
                    <a:solidFill>
                      <a:sysClr val="windowText" lastClr="000000">
                        <a:lumMod val="65000"/>
                        <a:lumOff val="35000"/>
                      </a:sysClr>
                    </a:solidFill>
                  </a:rPr>
                  <a:t>Desplazamiento longitudinal [mm]</a:t>
                </a:r>
              </a:p>
            </c:rich>
          </c:tx>
          <c:layout>
            <c:manualLayout>
              <c:xMode val="edge"/>
              <c:yMode val="edge"/>
              <c:x val="1.5255255255255255E-2"/>
              <c:y val="0.288262268518518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26036576"/>
        <c:crosses val="autoZero"/>
        <c:crossBetween val="between"/>
        <c:majorUnit val="5.000000000000001E-2"/>
        <c:minorUnit val="1.0000000000000002E-2"/>
      </c:valAx>
      <c:spPr>
        <a:noFill/>
        <a:ln>
          <a:noFill/>
        </a:ln>
        <a:effectLst/>
      </c:spPr>
    </c:plotArea>
    <c:legend>
      <c:legendPos val="b"/>
      <c:layout>
        <c:manualLayout>
          <c:xMode val="edge"/>
          <c:yMode val="edge"/>
          <c:x val="0"/>
          <c:y val="0.91908055555555546"/>
          <c:w val="0.99971771771771767"/>
          <c:h val="8.09194444444444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image" Target="../media/image1.pn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xdr:col>
      <xdr:colOff>34290</xdr:colOff>
      <xdr:row>10</xdr:row>
      <xdr:rowOff>3810</xdr:rowOff>
    </xdr:from>
    <xdr:to>
      <xdr:col>10</xdr:col>
      <xdr:colOff>350640</xdr:colOff>
      <xdr:row>32</xdr:row>
      <xdr:rowOff>132810</xdr:rowOff>
    </xdr:to>
    <xdr:graphicFrame macro="">
      <xdr:nvGraphicFramePr>
        <xdr:cNvPr id="2" name="Gráfico 2">
          <a:extLst>
            <a:ext uri="{FF2B5EF4-FFF2-40B4-BE49-F238E27FC236}">
              <a16:creationId xmlns:a16="http://schemas.microsoft.com/office/drawing/2014/main" id="{8819B26C-5AB2-4511-A26A-53E3666EB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281940</xdr:colOff>
      <xdr:row>11</xdr:row>
      <xdr:rowOff>13335</xdr:rowOff>
    </xdr:from>
    <xdr:to>
      <xdr:col>11</xdr:col>
      <xdr:colOff>598290</xdr:colOff>
      <xdr:row>33</xdr:row>
      <xdr:rowOff>142335</xdr:rowOff>
    </xdr:to>
    <xdr:graphicFrame macro="">
      <xdr:nvGraphicFramePr>
        <xdr:cNvPr id="2" name="Gráfico 2">
          <a:extLst>
            <a:ext uri="{FF2B5EF4-FFF2-40B4-BE49-F238E27FC236}">
              <a16:creationId xmlns:a16="http://schemas.microsoft.com/office/drawing/2014/main" id="{5CA427E0-AE2D-4362-8670-186EB4258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281940</xdr:colOff>
      <xdr:row>6</xdr:row>
      <xdr:rowOff>13335</xdr:rowOff>
    </xdr:from>
    <xdr:to>
      <xdr:col>14</xdr:col>
      <xdr:colOff>289560</xdr:colOff>
      <xdr:row>28</xdr:row>
      <xdr:rowOff>142335</xdr:rowOff>
    </xdr:to>
    <xdr:graphicFrame macro="">
      <xdr:nvGraphicFramePr>
        <xdr:cNvPr id="2" name="Gráfico 2">
          <a:extLst>
            <a:ext uri="{FF2B5EF4-FFF2-40B4-BE49-F238E27FC236}">
              <a16:creationId xmlns:a16="http://schemas.microsoft.com/office/drawing/2014/main" id="{7B8628AE-3B0B-4337-88E1-B47EF23AC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34290</xdr:colOff>
      <xdr:row>10</xdr:row>
      <xdr:rowOff>3810</xdr:rowOff>
    </xdr:from>
    <xdr:to>
      <xdr:col>14</xdr:col>
      <xdr:colOff>472439</xdr:colOff>
      <xdr:row>32</xdr:row>
      <xdr:rowOff>132810</xdr:rowOff>
    </xdr:to>
    <xdr:graphicFrame macro="">
      <xdr:nvGraphicFramePr>
        <xdr:cNvPr id="2" name="Gráfico 2">
          <a:extLst>
            <a:ext uri="{FF2B5EF4-FFF2-40B4-BE49-F238E27FC236}">
              <a16:creationId xmlns:a16="http://schemas.microsoft.com/office/drawing/2014/main" id="{482AB6D3-E789-44CF-BD3D-32A69DA28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34290</xdr:colOff>
      <xdr:row>10</xdr:row>
      <xdr:rowOff>3810</xdr:rowOff>
    </xdr:from>
    <xdr:to>
      <xdr:col>11</xdr:col>
      <xdr:colOff>102990</xdr:colOff>
      <xdr:row>32</xdr:row>
      <xdr:rowOff>132810</xdr:rowOff>
    </xdr:to>
    <xdr:graphicFrame macro="">
      <xdr:nvGraphicFramePr>
        <xdr:cNvPr id="2" name="Gráfico 2">
          <a:extLst>
            <a:ext uri="{FF2B5EF4-FFF2-40B4-BE49-F238E27FC236}">
              <a16:creationId xmlns:a16="http://schemas.microsoft.com/office/drawing/2014/main" id="{9071CC51-EB85-49A3-9F12-1EEBF4AF7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34290</xdr:colOff>
      <xdr:row>10</xdr:row>
      <xdr:rowOff>3810</xdr:rowOff>
    </xdr:from>
    <xdr:to>
      <xdr:col>11</xdr:col>
      <xdr:colOff>217290</xdr:colOff>
      <xdr:row>38</xdr:row>
      <xdr:rowOff>69810</xdr:rowOff>
    </xdr:to>
    <xdr:graphicFrame macro="">
      <xdr:nvGraphicFramePr>
        <xdr:cNvPr id="2" name="Gráfico 2">
          <a:extLst>
            <a:ext uri="{FF2B5EF4-FFF2-40B4-BE49-F238E27FC236}">
              <a16:creationId xmlns:a16="http://schemas.microsoft.com/office/drawing/2014/main" id="{A6BDA5E2-C27C-44B1-8C23-3A9AFB856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34290</xdr:colOff>
      <xdr:row>10</xdr:row>
      <xdr:rowOff>3810</xdr:rowOff>
    </xdr:from>
    <xdr:to>
      <xdr:col>11</xdr:col>
      <xdr:colOff>217290</xdr:colOff>
      <xdr:row>32</xdr:row>
      <xdr:rowOff>132810</xdr:rowOff>
    </xdr:to>
    <xdr:graphicFrame macro="">
      <xdr:nvGraphicFramePr>
        <xdr:cNvPr id="2" name="Gráfico 2">
          <a:extLst>
            <a:ext uri="{FF2B5EF4-FFF2-40B4-BE49-F238E27FC236}">
              <a16:creationId xmlns:a16="http://schemas.microsoft.com/office/drawing/2014/main" id="{BEBD5571-E996-4C0C-94DB-D5EB1A801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34290</xdr:colOff>
      <xdr:row>11</xdr:row>
      <xdr:rowOff>3810</xdr:rowOff>
    </xdr:from>
    <xdr:to>
      <xdr:col>11</xdr:col>
      <xdr:colOff>217290</xdr:colOff>
      <xdr:row>33</xdr:row>
      <xdr:rowOff>132810</xdr:rowOff>
    </xdr:to>
    <xdr:graphicFrame macro="">
      <xdr:nvGraphicFramePr>
        <xdr:cNvPr id="2" name="Gráfico 2">
          <a:extLst>
            <a:ext uri="{FF2B5EF4-FFF2-40B4-BE49-F238E27FC236}">
              <a16:creationId xmlns:a16="http://schemas.microsoft.com/office/drawing/2014/main" id="{B782BB0B-9D1F-4472-8694-CE0FD0CE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5715</xdr:colOff>
      <xdr:row>10</xdr:row>
      <xdr:rowOff>80010</xdr:rowOff>
    </xdr:from>
    <xdr:to>
      <xdr:col>10</xdr:col>
      <xdr:colOff>645915</xdr:colOff>
      <xdr:row>33</xdr:row>
      <xdr:rowOff>18510</xdr:rowOff>
    </xdr:to>
    <xdr:graphicFrame macro="">
      <xdr:nvGraphicFramePr>
        <xdr:cNvPr id="2" name="Gráfico 2">
          <a:extLst>
            <a:ext uri="{FF2B5EF4-FFF2-40B4-BE49-F238E27FC236}">
              <a16:creationId xmlns:a16="http://schemas.microsoft.com/office/drawing/2014/main" id="{06C8BBE1-829A-4794-911B-8DFB54940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1331154</xdr:colOff>
      <xdr:row>10</xdr:row>
      <xdr:rowOff>33117</xdr:rowOff>
    </xdr:from>
    <xdr:to>
      <xdr:col>10</xdr:col>
      <xdr:colOff>605616</xdr:colOff>
      <xdr:row>32</xdr:row>
      <xdr:rowOff>162117</xdr:rowOff>
    </xdr:to>
    <xdr:graphicFrame macro="">
      <xdr:nvGraphicFramePr>
        <xdr:cNvPr id="3" name="Gráfico 2">
          <a:extLst>
            <a:ext uri="{FF2B5EF4-FFF2-40B4-BE49-F238E27FC236}">
              <a16:creationId xmlns:a16="http://schemas.microsoft.com/office/drawing/2014/main" id="{A8F61767-F5B7-91DE-14F3-ABED3C094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62865</xdr:colOff>
      <xdr:row>10</xdr:row>
      <xdr:rowOff>3810</xdr:rowOff>
    </xdr:from>
    <xdr:to>
      <xdr:col>11</xdr:col>
      <xdr:colOff>245865</xdr:colOff>
      <xdr:row>38</xdr:row>
      <xdr:rowOff>69810</xdr:rowOff>
    </xdr:to>
    <xdr:graphicFrame macro="">
      <xdr:nvGraphicFramePr>
        <xdr:cNvPr id="2" name="Gráfico 2">
          <a:extLst>
            <a:ext uri="{FF2B5EF4-FFF2-40B4-BE49-F238E27FC236}">
              <a16:creationId xmlns:a16="http://schemas.microsoft.com/office/drawing/2014/main" id="{EFBF1764-7175-4110-BA51-11A946AA7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415289</xdr:colOff>
      <xdr:row>14</xdr:row>
      <xdr:rowOff>32385</xdr:rowOff>
    </xdr:from>
    <xdr:to>
      <xdr:col>11</xdr:col>
      <xdr:colOff>607814</xdr:colOff>
      <xdr:row>36</xdr:row>
      <xdr:rowOff>161385</xdr:rowOff>
    </xdr:to>
    <xdr:graphicFrame macro="">
      <xdr:nvGraphicFramePr>
        <xdr:cNvPr id="2" name="Gráfico 2">
          <a:extLst>
            <a:ext uri="{FF2B5EF4-FFF2-40B4-BE49-F238E27FC236}">
              <a16:creationId xmlns:a16="http://schemas.microsoft.com/office/drawing/2014/main" id="{35CBC90F-EB4F-43DD-89B5-92A7C13B2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42</xdr:row>
      <xdr:rowOff>0</xdr:rowOff>
    </xdr:from>
    <xdr:to>
      <xdr:col>25</xdr:col>
      <xdr:colOff>206917</xdr:colOff>
      <xdr:row>70</xdr:row>
      <xdr:rowOff>69030</xdr:rowOff>
    </xdr:to>
    <xdr:pic>
      <xdr:nvPicPr>
        <xdr:cNvPr id="3" name="Imagen 2">
          <a:extLst>
            <a:ext uri="{FF2B5EF4-FFF2-40B4-BE49-F238E27FC236}">
              <a16:creationId xmlns:a16="http://schemas.microsoft.com/office/drawing/2014/main" id="{B48DBACB-9C22-D3A3-D7A1-DDAC1E472CAB}"/>
            </a:ext>
          </a:extLst>
        </xdr:cNvPr>
        <xdr:cNvPicPr>
          <a:picLocks noChangeAspect="1"/>
        </xdr:cNvPicPr>
      </xdr:nvPicPr>
      <xdr:blipFill>
        <a:blip xmlns:r="http://schemas.openxmlformats.org/officeDocument/2006/relationships" r:embed="rId2"/>
        <a:stretch>
          <a:fillRect/>
        </a:stretch>
      </xdr:blipFill>
      <xdr:spPr>
        <a:xfrm>
          <a:off x="2941320" y="7513320"/>
          <a:ext cx="13587637" cy="5189670"/>
        </a:xfrm>
        <a:prstGeom prst="rect">
          <a:avLst/>
        </a:prstGeom>
      </xdr:spPr>
    </xdr:pic>
    <xdr:clientData/>
  </xdr:twoCellAnchor>
  <xdr:twoCellAnchor>
    <xdr:from>
      <xdr:col>15</xdr:col>
      <xdr:colOff>304800</xdr:colOff>
      <xdr:row>13</xdr:row>
      <xdr:rowOff>175260</xdr:rowOff>
    </xdr:from>
    <xdr:to>
      <xdr:col>23</xdr:col>
      <xdr:colOff>314445</xdr:colOff>
      <xdr:row>36</xdr:row>
      <xdr:rowOff>121380</xdr:rowOff>
    </xdr:to>
    <xdr:graphicFrame macro="">
      <xdr:nvGraphicFramePr>
        <xdr:cNvPr id="4" name="Gráfico 2">
          <a:extLst>
            <a:ext uri="{FF2B5EF4-FFF2-40B4-BE49-F238E27FC236}">
              <a16:creationId xmlns:a16="http://schemas.microsoft.com/office/drawing/2014/main" id="{5B132F80-CF12-44A0-81E4-FA1C1069C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1443989</xdr:colOff>
      <xdr:row>7</xdr:row>
      <xdr:rowOff>118109</xdr:rowOff>
    </xdr:from>
    <xdr:to>
      <xdr:col>11</xdr:col>
      <xdr:colOff>45839</xdr:colOff>
      <xdr:row>30</xdr:row>
      <xdr:rowOff>56609</xdr:rowOff>
    </xdr:to>
    <xdr:graphicFrame macro="">
      <xdr:nvGraphicFramePr>
        <xdr:cNvPr id="3" name="Gráfico 2">
          <a:extLst>
            <a:ext uri="{FF2B5EF4-FFF2-40B4-BE49-F238E27FC236}">
              <a16:creationId xmlns:a16="http://schemas.microsoft.com/office/drawing/2014/main" id="{16AF277B-C7A5-61BE-2803-7F81B15A3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685800</xdr:colOff>
      <xdr:row>9</xdr:row>
      <xdr:rowOff>160020</xdr:rowOff>
    </xdr:from>
    <xdr:to>
      <xdr:col>21</xdr:col>
      <xdr:colOff>695445</xdr:colOff>
      <xdr:row>32</xdr:row>
      <xdr:rowOff>106140</xdr:rowOff>
    </xdr:to>
    <xdr:graphicFrame macro="">
      <xdr:nvGraphicFramePr>
        <xdr:cNvPr id="2" name="Gráfico 2">
          <a:extLst>
            <a:ext uri="{FF2B5EF4-FFF2-40B4-BE49-F238E27FC236}">
              <a16:creationId xmlns:a16="http://schemas.microsoft.com/office/drawing/2014/main" id="{35C9B0F6-CABB-494E-AFBC-549A36351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942975</xdr:colOff>
      <xdr:row>17</xdr:row>
      <xdr:rowOff>38100</xdr:rowOff>
    </xdr:from>
    <xdr:to>
      <xdr:col>15</xdr:col>
      <xdr:colOff>438150</xdr:colOff>
      <xdr:row>81</xdr:row>
      <xdr:rowOff>161925</xdr:rowOff>
    </xdr:to>
    <xdr:graphicFrame macro="">
      <xdr:nvGraphicFramePr>
        <xdr:cNvPr id="6" name="Gráfico 5">
          <a:extLst>
            <a:ext uri="{FF2B5EF4-FFF2-40B4-BE49-F238E27FC236}">
              <a16:creationId xmlns:a16="http://schemas.microsoft.com/office/drawing/2014/main" id="{317A2ADE-98E1-3220-70FA-21F0C7115569}"/>
            </a:ext>
            <a:ext uri="{147F2762-F138-4A5C-976F-8EAC2B608ADB}">
              <a16:predDERef xmlns:a16="http://schemas.microsoft.com/office/drawing/2014/main" pred="{2E2E0558-D05F-4817-AAF4-7A895F241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809624</xdr:colOff>
      <xdr:row>31</xdr:row>
      <xdr:rowOff>104775</xdr:rowOff>
    </xdr:from>
    <xdr:to>
      <xdr:col>16</xdr:col>
      <xdr:colOff>548924</xdr:colOff>
      <xdr:row>96</xdr:row>
      <xdr:rowOff>38100</xdr:rowOff>
    </xdr:to>
    <xdr:graphicFrame macro="">
      <xdr:nvGraphicFramePr>
        <xdr:cNvPr id="2" name="Gráfico 5">
          <a:extLst>
            <a:ext uri="{FF2B5EF4-FFF2-40B4-BE49-F238E27FC236}">
              <a16:creationId xmlns:a16="http://schemas.microsoft.com/office/drawing/2014/main" id="{8D13B0A9-85AD-47F1-AE80-F67D0CC3C604}"/>
            </a:ext>
            <a:ext uri="{147F2762-F138-4A5C-976F-8EAC2B608ADB}">
              <a16:predDERef xmlns:a16="http://schemas.microsoft.com/office/drawing/2014/main" pred="{2E2E0558-D05F-4817-AAF4-7A895F241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338136</xdr:colOff>
      <xdr:row>34</xdr:row>
      <xdr:rowOff>152400</xdr:rowOff>
    </xdr:from>
    <xdr:to>
      <xdr:col>26</xdr:col>
      <xdr:colOff>140136</xdr:colOff>
      <xdr:row>57</xdr:row>
      <xdr:rowOff>90900</xdr:rowOff>
    </xdr:to>
    <xdr:graphicFrame macro="">
      <xdr:nvGraphicFramePr>
        <xdr:cNvPr id="3" name="Gráfico 2">
          <a:extLst>
            <a:ext uri="{FF2B5EF4-FFF2-40B4-BE49-F238E27FC236}">
              <a16:creationId xmlns:a16="http://schemas.microsoft.com/office/drawing/2014/main" id="{B5532AD5-A472-C9C7-C203-ADE81DD8E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838200</xdr:colOff>
      <xdr:row>97</xdr:row>
      <xdr:rowOff>38100</xdr:rowOff>
    </xdr:from>
    <xdr:to>
      <xdr:col>16</xdr:col>
      <xdr:colOff>577500</xdr:colOff>
      <xdr:row>161</xdr:row>
      <xdr:rowOff>154305</xdr:rowOff>
    </xdr:to>
    <xdr:graphicFrame macro="">
      <xdr:nvGraphicFramePr>
        <xdr:cNvPr id="4" name="Gráfico 5">
          <a:extLst>
            <a:ext uri="{FF2B5EF4-FFF2-40B4-BE49-F238E27FC236}">
              <a16:creationId xmlns:a16="http://schemas.microsoft.com/office/drawing/2014/main" id="{DC50B6EA-EDF9-4E58-B854-1CA56BC30FD4}"/>
            </a:ext>
            <a:ext uri="{147F2762-F138-4A5C-976F-8EAC2B608ADB}">
              <a16:predDERef xmlns:a16="http://schemas.microsoft.com/office/drawing/2014/main" pred="{2E2E0558-D05F-4817-AAF4-7A895F241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10</xdr:row>
      <xdr:rowOff>0</xdr:rowOff>
    </xdr:from>
    <xdr:to>
      <xdr:col>10</xdr:col>
      <xdr:colOff>602100</xdr:colOff>
      <xdr:row>37</xdr:row>
      <xdr:rowOff>0</xdr:rowOff>
    </xdr:to>
    <xdr:graphicFrame macro="">
      <xdr:nvGraphicFramePr>
        <xdr:cNvPr id="2" name="Gráfico 1">
          <a:extLst>
            <a:ext uri="{FF2B5EF4-FFF2-40B4-BE49-F238E27FC236}">
              <a16:creationId xmlns:a16="http://schemas.microsoft.com/office/drawing/2014/main" id="{57809251-2A09-43E9-BBA7-0AA6121A6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152400</xdr:colOff>
      <xdr:row>37</xdr:row>
      <xdr:rowOff>109537</xdr:rowOff>
    </xdr:from>
    <xdr:to>
      <xdr:col>4</xdr:col>
      <xdr:colOff>402075</xdr:colOff>
      <xdr:row>75</xdr:row>
      <xdr:rowOff>70537</xdr:rowOff>
    </xdr:to>
    <xdr:graphicFrame macro="">
      <xdr:nvGraphicFramePr>
        <xdr:cNvPr id="3" name="Gráfico 2">
          <a:extLst>
            <a:ext uri="{FF2B5EF4-FFF2-40B4-BE49-F238E27FC236}">
              <a16:creationId xmlns:a16="http://schemas.microsoft.com/office/drawing/2014/main" id="{EACB8EA0-A360-1925-EBE0-3E87248E5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37</xdr:row>
      <xdr:rowOff>104775</xdr:rowOff>
    </xdr:from>
    <xdr:to>
      <xdr:col>13</xdr:col>
      <xdr:colOff>344925</xdr:colOff>
      <xdr:row>75</xdr:row>
      <xdr:rowOff>65775</xdr:rowOff>
    </xdr:to>
    <xdr:graphicFrame macro="">
      <xdr:nvGraphicFramePr>
        <xdr:cNvPr id="2" name="Gráfico 1">
          <a:extLst>
            <a:ext uri="{FF2B5EF4-FFF2-40B4-BE49-F238E27FC236}">
              <a16:creationId xmlns:a16="http://schemas.microsoft.com/office/drawing/2014/main" id="{38B2B655-8C56-4A42-9DE8-E89BD14EF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showGridLines="0" tabSelected="1" workbookViewId="0">
      <selection activeCell="O5" sqref="O5"/>
    </sheetView>
  </sheetViews>
  <sheetFormatPr baseColWidth="10" defaultColWidth="9.140625" defaultRowHeight="15" x14ac:dyDescent="0.25"/>
  <cols>
    <col min="1" max="1" width="7.140625" customWidth="1"/>
    <col min="2" max="2" width="6.5703125" bestFit="1" customWidth="1"/>
    <col min="3" max="3" width="8.85546875" customWidth="1"/>
    <col min="4" max="4" width="6.42578125" customWidth="1"/>
    <col min="5" max="5" width="9.140625" customWidth="1"/>
    <col min="6" max="7" width="12.28515625" bestFit="1" customWidth="1"/>
  </cols>
  <sheetData>
    <row r="1" spans="1:10" ht="21" x14ac:dyDescent="0.35">
      <c r="A1" s="179" t="s">
        <v>0</v>
      </c>
      <c r="B1" s="179"/>
      <c r="C1" s="179"/>
      <c r="D1" s="179"/>
      <c r="E1" s="179"/>
      <c r="F1" s="179"/>
      <c r="G1" s="179"/>
    </row>
    <row r="2" spans="1:10" ht="98.45" customHeight="1" x14ac:dyDescent="0.25">
      <c r="A2" s="22" t="s">
        <v>55</v>
      </c>
      <c r="B2" s="22" t="s">
        <v>50</v>
      </c>
      <c r="C2" s="22" t="s">
        <v>51</v>
      </c>
      <c r="D2" s="22" t="s">
        <v>52</v>
      </c>
      <c r="E2" s="22" t="s">
        <v>67</v>
      </c>
      <c r="F2" s="22" t="s">
        <v>53</v>
      </c>
      <c r="G2" s="22" t="s">
        <v>54</v>
      </c>
      <c r="J2" s="27"/>
    </row>
    <row r="3" spans="1:10" x14ac:dyDescent="0.25">
      <c r="A3" s="23">
        <v>10</v>
      </c>
      <c r="B3" s="23">
        <v>1</v>
      </c>
      <c r="C3" s="23">
        <v>3</v>
      </c>
      <c r="D3" s="23">
        <v>3</v>
      </c>
      <c r="E3" s="24">
        <v>1.12E-2</v>
      </c>
      <c r="F3" s="23">
        <v>-5.33E-2</v>
      </c>
      <c r="G3" s="24">
        <f>E3-F3</f>
        <v>6.4500000000000002E-2</v>
      </c>
    </row>
    <row r="4" spans="1:10" x14ac:dyDescent="0.25">
      <c r="A4" s="23">
        <v>10</v>
      </c>
      <c r="B4" s="23">
        <v>1</v>
      </c>
      <c r="C4" s="23">
        <v>3</v>
      </c>
      <c r="D4" s="23">
        <v>8</v>
      </c>
      <c r="E4" s="24">
        <v>2.18E-2</v>
      </c>
      <c r="F4" s="23">
        <v>-3.44E-2</v>
      </c>
      <c r="G4" s="24">
        <f>E4-F4</f>
        <v>5.62E-2</v>
      </c>
    </row>
    <row r="5" spans="1:10" x14ac:dyDescent="0.25">
      <c r="A5" s="23">
        <v>10</v>
      </c>
      <c r="B5" s="23">
        <v>1</v>
      </c>
      <c r="C5" s="23">
        <v>3</v>
      </c>
      <c r="D5" s="23">
        <v>10</v>
      </c>
      <c r="E5" s="24">
        <v>2.5999999999999999E-2</v>
      </c>
      <c r="F5" s="23">
        <v>-3.04E-2</v>
      </c>
      <c r="G5" s="24">
        <f>E5-F5</f>
        <v>5.6399999999999999E-2</v>
      </c>
    </row>
    <row r="6" spans="1:10" x14ac:dyDescent="0.25">
      <c r="A6" s="23">
        <v>10</v>
      </c>
      <c r="B6" s="23">
        <v>1</v>
      </c>
      <c r="C6" s="23">
        <v>3</v>
      </c>
      <c r="D6" s="23">
        <v>14</v>
      </c>
      <c r="E6" s="24">
        <v>3.44E-2</v>
      </c>
      <c r="F6" s="23">
        <v>-2.2599999999999999E-2</v>
      </c>
      <c r="G6" s="24">
        <f>E6-F6</f>
        <v>5.6999999999999995E-2</v>
      </c>
    </row>
    <row r="7" spans="1:10" x14ac:dyDescent="0.25">
      <c r="A7" s="23">
        <v>10</v>
      </c>
      <c r="B7" s="23">
        <v>1</v>
      </c>
      <c r="C7" s="23">
        <v>5</v>
      </c>
      <c r="D7" s="23">
        <v>14</v>
      </c>
      <c r="E7" s="24">
        <v>3.7999999999999999E-2</v>
      </c>
      <c r="F7" s="23">
        <v>-1.7999999999999999E-2</v>
      </c>
      <c r="G7" s="24">
        <f>E7-F7</f>
        <v>5.5999999999999994E-2</v>
      </c>
    </row>
    <row r="8" spans="1:10" x14ac:dyDescent="0.25">
      <c r="A8" s="52">
        <v>10</v>
      </c>
      <c r="B8" s="53">
        <v>1</v>
      </c>
      <c r="C8" s="53">
        <v>3</v>
      </c>
      <c r="D8" s="53">
        <v>6</v>
      </c>
      <c r="E8" s="54">
        <v>1.7000000000000001E-2</v>
      </c>
      <c r="F8" s="54">
        <v>-3.85E-2</v>
      </c>
      <c r="G8" s="54">
        <f t="shared" ref="G8:G20" si="0">E8-F8</f>
        <v>5.5500000000000001E-2</v>
      </c>
    </row>
    <row r="9" spans="1:10" x14ac:dyDescent="0.25">
      <c r="A9" s="25">
        <v>9</v>
      </c>
      <c r="B9" s="25">
        <v>1</v>
      </c>
      <c r="C9" s="25">
        <v>3</v>
      </c>
      <c r="D9" s="25">
        <v>6</v>
      </c>
      <c r="E9" s="26">
        <v>1.7000000000000001E-2</v>
      </c>
      <c r="F9" s="26">
        <v>-3.2599999999999997E-2</v>
      </c>
      <c r="G9" s="26">
        <f t="shared" si="0"/>
        <v>4.9599999999999998E-2</v>
      </c>
    </row>
    <row r="10" spans="1:10" x14ac:dyDescent="0.25">
      <c r="A10" s="25">
        <v>8</v>
      </c>
      <c r="B10" s="25">
        <v>1</v>
      </c>
      <c r="C10" s="25">
        <v>3</v>
      </c>
      <c r="D10" s="25">
        <v>6</v>
      </c>
      <c r="E10" s="26">
        <v>1.7000000000000001E-2</v>
      </c>
      <c r="F10" s="26">
        <v>-2.07E-2</v>
      </c>
      <c r="G10" s="26">
        <f t="shared" si="0"/>
        <v>3.7699999999999997E-2</v>
      </c>
    </row>
    <row r="11" spans="1:10" x14ac:dyDescent="0.25">
      <c r="A11" s="25">
        <v>7</v>
      </c>
      <c r="B11" s="25">
        <v>1</v>
      </c>
      <c r="C11" s="25">
        <v>3</v>
      </c>
      <c r="D11" s="25">
        <v>6</v>
      </c>
      <c r="E11" s="26">
        <v>1.7000000000000001E-2</v>
      </c>
      <c r="F11" s="26">
        <v>-2.07E-2</v>
      </c>
      <c r="G11" s="26">
        <f t="shared" si="0"/>
        <v>3.7699999999999997E-2</v>
      </c>
    </row>
    <row r="12" spans="1:10" x14ac:dyDescent="0.25">
      <c r="A12" s="25">
        <v>6</v>
      </c>
      <c r="B12" s="25">
        <v>1</v>
      </c>
      <c r="C12" s="25">
        <v>3</v>
      </c>
      <c r="D12" s="25">
        <v>6</v>
      </c>
      <c r="E12" s="26">
        <v>1.7000000000000001E-2</v>
      </c>
      <c r="F12" s="26">
        <v>-1.4999999999999999E-2</v>
      </c>
      <c r="G12" s="26">
        <f t="shared" si="0"/>
        <v>3.2000000000000001E-2</v>
      </c>
    </row>
    <row r="13" spans="1:10" x14ac:dyDescent="0.25">
      <c r="A13" s="25">
        <v>5</v>
      </c>
      <c r="B13" s="25">
        <v>1</v>
      </c>
      <c r="C13" s="25">
        <v>3</v>
      </c>
      <c r="D13" s="25">
        <v>6</v>
      </c>
      <c r="E13" s="26">
        <v>1.7000000000000001E-2</v>
      </c>
      <c r="F13" s="26">
        <v>-9.1000000000000004E-3</v>
      </c>
      <c r="G13" s="26">
        <f t="shared" si="0"/>
        <v>2.6100000000000002E-2</v>
      </c>
    </row>
    <row r="14" spans="1:10" x14ac:dyDescent="0.25">
      <c r="A14" s="25">
        <v>4</v>
      </c>
      <c r="B14" s="25">
        <v>1</v>
      </c>
      <c r="C14" s="25">
        <v>3</v>
      </c>
      <c r="D14" s="25">
        <v>6</v>
      </c>
      <c r="E14" s="26">
        <v>1.7000000000000001E-2</v>
      </c>
      <c r="F14" s="26">
        <v>2.2200000000000002E-3</v>
      </c>
      <c r="G14" s="26">
        <f t="shared" si="0"/>
        <v>1.4780000000000001E-2</v>
      </c>
    </row>
    <row r="15" spans="1:10" x14ac:dyDescent="0.25">
      <c r="A15" s="25">
        <v>3</v>
      </c>
      <c r="B15" s="25">
        <v>1</v>
      </c>
      <c r="C15" s="25">
        <v>3</v>
      </c>
      <c r="D15" s="25">
        <v>6</v>
      </c>
      <c r="E15" s="26">
        <v>1.7000000000000001E-2</v>
      </c>
      <c r="F15" s="26">
        <v>2.2300000000000002E-3</v>
      </c>
      <c r="G15" s="26">
        <f t="shared" si="0"/>
        <v>1.4770000000000002E-2</v>
      </c>
    </row>
    <row r="16" spans="1:10" x14ac:dyDescent="0.25">
      <c r="A16" s="25">
        <v>2</v>
      </c>
      <c r="B16" s="25">
        <v>1</v>
      </c>
      <c r="C16" s="25">
        <v>3</v>
      </c>
      <c r="D16" s="25">
        <v>6</v>
      </c>
      <c r="E16" s="26">
        <v>1.7000000000000001E-2</v>
      </c>
      <c r="F16" s="26">
        <v>7.7000000000000002E-3</v>
      </c>
      <c r="G16" s="26">
        <f t="shared" si="0"/>
        <v>9.300000000000001E-3</v>
      </c>
    </row>
    <row r="17" spans="1:7" x14ac:dyDescent="0.25">
      <c r="A17" s="25">
        <v>1</v>
      </c>
      <c r="B17" s="25">
        <v>1</v>
      </c>
      <c r="C17" s="25">
        <v>3</v>
      </c>
      <c r="D17" s="25">
        <v>6</v>
      </c>
      <c r="E17" s="26">
        <v>1.7000000000000001E-2</v>
      </c>
      <c r="F17" s="26">
        <v>1.2999999999999999E-2</v>
      </c>
      <c r="G17" s="26">
        <f t="shared" si="0"/>
        <v>4.0000000000000018E-3</v>
      </c>
    </row>
    <row r="18" spans="1:7" x14ac:dyDescent="0.25">
      <c r="A18" s="25">
        <v>0.5</v>
      </c>
      <c r="B18" s="25">
        <v>1</v>
      </c>
      <c r="C18" s="25">
        <v>3</v>
      </c>
      <c r="D18" s="25">
        <v>6</v>
      </c>
      <c r="E18" s="26">
        <v>1.7000000000000001E-2</v>
      </c>
      <c r="F18" s="26">
        <v>1.55E-2</v>
      </c>
      <c r="G18" s="26">
        <f t="shared" si="0"/>
        <v>1.5000000000000013E-3</v>
      </c>
    </row>
    <row r="19" spans="1:7" x14ac:dyDescent="0.25">
      <c r="A19" s="25">
        <v>0.2</v>
      </c>
      <c r="B19" s="25">
        <v>1</v>
      </c>
      <c r="C19" s="25">
        <v>3</v>
      </c>
      <c r="D19" s="25">
        <v>6</v>
      </c>
      <c r="E19" s="26">
        <v>1.7000000000000001E-2</v>
      </c>
      <c r="F19" s="26">
        <v>1.7000000000000001E-2</v>
      </c>
      <c r="G19" s="26">
        <f t="shared" si="0"/>
        <v>0</v>
      </c>
    </row>
    <row r="20" spans="1:7" x14ac:dyDescent="0.25">
      <c r="A20" s="25">
        <v>0.1</v>
      </c>
      <c r="B20" s="25">
        <v>1</v>
      </c>
      <c r="C20" s="25">
        <v>3</v>
      </c>
      <c r="D20" s="25">
        <v>6</v>
      </c>
      <c r="E20" s="26">
        <v>1.7000000000000001E-2</v>
      </c>
      <c r="F20" s="26">
        <v>1.7000000000000001E-2</v>
      </c>
      <c r="G20" s="26">
        <f t="shared" si="0"/>
        <v>0</v>
      </c>
    </row>
    <row r="22" spans="1:7" x14ac:dyDescent="0.25">
      <c r="A22" t="s">
        <v>56</v>
      </c>
    </row>
    <row r="23" spans="1:7" x14ac:dyDescent="0.25">
      <c r="A23" t="s">
        <v>57</v>
      </c>
    </row>
    <row r="34" spans="5:7" x14ac:dyDescent="0.25">
      <c r="E34" s="1"/>
    </row>
    <row r="35" spans="5:7" x14ac:dyDescent="0.25">
      <c r="E35" s="1"/>
      <c r="G35" s="1"/>
    </row>
    <row r="36" spans="5:7" x14ac:dyDescent="0.25">
      <c r="E36" s="1"/>
      <c r="G36" s="1"/>
    </row>
    <row r="37" spans="5:7" x14ac:dyDescent="0.25">
      <c r="E37" s="1"/>
      <c r="G37" s="1"/>
    </row>
    <row r="38" spans="5:7" x14ac:dyDescent="0.25">
      <c r="E38" s="1"/>
      <c r="G38" s="1"/>
    </row>
  </sheetData>
  <mergeCells count="1">
    <mergeCell ref="A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519F-2A4B-4EF4-875E-16A528AE8DE9}">
  <dimension ref="A1:M8"/>
  <sheetViews>
    <sheetView showGridLines="0" zoomScaleNormal="100" workbookViewId="0">
      <selection activeCell="P15" sqref="P15"/>
    </sheetView>
  </sheetViews>
  <sheetFormatPr baseColWidth="10" defaultColWidth="11.42578125" defaultRowHeight="15" x14ac:dyDescent="0.25"/>
  <cols>
    <col min="1" max="1" width="14.28515625" customWidth="1"/>
    <col min="2" max="13" width="8.140625"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5" t="s">
        <v>2</v>
      </c>
      <c r="B2" s="36">
        <v>0.1</v>
      </c>
      <c r="C2" s="36">
        <v>0.5</v>
      </c>
      <c r="D2" s="36">
        <v>1</v>
      </c>
      <c r="E2" s="36">
        <v>2</v>
      </c>
      <c r="F2" s="36">
        <v>3</v>
      </c>
      <c r="G2" s="36">
        <v>4</v>
      </c>
      <c r="H2" s="36">
        <v>5</v>
      </c>
      <c r="I2" s="36">
        <v>6</v>
      </c>
      <c r="J2" s="36">
        <v>7</v>
      </c>
      <c r="K2" s="36">
        <v>8</v>
      </c>
      <c r="L2" s="36">
        <v>9</v>
      </c>
      <c r="M2" s="36">
        <v>10</v>
      </c>
    </row>
    <row r="3" spans="1:13" ht="30" customHeight="1" x14ac:dyDescent="0.25">
      <c r="A3" s="29" t="s">
        <v>3</v>
      </c>
      <c r="B3" s="33">
        <v>-4.6019999999999998E-2</v>
      </c>
      <c r="C3" s="33">
        <v>-0.23</v>
      </c>
      <c r="D3" s="33">
        <v>-0.44579999999999997</v>
      </c>
      <c r="E3" s="33">
        <v>-0.89870000000000005</v>
      </c>
      <c r="F3" s="33">
        <v>-1.5469999999999999</v>
      </c>
      <c r="G3" s="33">
        <v>-2.0859999999999999</v>
      </c>
      <c r="H3" s="33">
        <v>-2.3119999999999998</v>
      </c>
      <c r="I3" s="33">
        <v>-2.7730000000000001</v>
      </c>
      <c r="J3" s="33">
        <v>-3.234</v>
      </c>
      <c r="K3" s="34">
        <v>-3.8039999999999998</v>
      </c>
      <c r="L3" s="33">
        <v>-4.2850000000000001</v>
      </c>
      <c r="M3" s="33">
        <v>-4.7679999999999998</v>
      </c>
    </row>
    <row r="4" spans="1:13" ht="30" customHeight="1" x14ac:dyDescent="0.25">
      <c r="A4" s="29" t="s">
        <v>4</v>
      </c>
      <c r="B4" s="33">
        <v>-6.9720000000000003E-4</v>
      </c>
      <c r="C4" s="33">
        <v>-3.4849999999999998E-3</v>
      </c>
      <c r="D4" s="33">
        <v>-6.7539999999999996E-3</v>
      </c>
      <c r="E4" s="33">
        <v>-1.362E-2</v>
      </c>
      <c r="F4" s="33">
        <v>-2.3439999999999999E-2</v>
      </c>
      <c r="G4" s="33">
        <v>-3.1609999999999999E-2</v>
      </c>
      <c r="H4" s="33">
        <v>-3.5020000000000003E-2</v>
      </c>
      <c r="I4" s="33">
        <v>-4.2009999999999999E-2</v>
      </c>
      <c r="J4" s="33">
        <v>-4.9000000000000002E-2</v>
      </c>
      <c r="K4" s="33">
        <v>-5.7639999999999997E-2</v>
      </c>
      <c r="L4" s="33">
        <v>-6.4930000000000002E-2</v>
      </c>
      <c r="M4" s="33">
        <v>-7.2249999999999995E-2</v>
      </c>
    </row>
    <row r="5" spans="1:13" ht="30" customHeight="1" x14ac:dyDescent="0.25">
      <c r="A5" s="29" t="s">
        <v>5</v>
      </c>
      <c r="B5" s="33">
        <v>-6.8880000000000005E-4</v>
      </c>
      <c r="C5" s="33">
        <v>-3.4429999999999999E-3</v>
      </c>
      <c r="D5" s="33">
        <v>-6.6680000000000003E-3</v>
      </c>
      <c r="E5" s="33">
        <v>-1.3440000000000001E-2</v>
      </c>
      <c r="F5" s="33">
        <v>-2.3E-2</v>
      </c>
      <c r="G5" s="33">
        <v>-3.1019999999999999E-2</v>
      </c>
      <c r="H5" s="33">
        <v>-3.4549999999999997E-2</v>
      </c>
      <c r="I5" s="33">
        <v>-4.1439999999999998E-2</v>
      </c>
      <c r="J5" s="33">
        <v>-4.8329999999999998E-2</v>
      </c>
      <c r="K5" s="33">
        <v>-5.6860000000000001E-2</v>
      </c>
      <c r="L5" s="33">
        <v>-6.4049999999999996E-2</v>
      </c>
      <c r="M5" s="33">
        <v>-7.1260000000000004E-2</v>
      </c>
    </row>
    <row r="6" spans="1:13" ht="30" customHeight="1" x14ac:dyDescent="0.25">
      <c r="A6" s="29" t="s">
        <v>6</v>
      </c>
      <c r="B6" s="33">
        <v>-7.0080000000000001E-4</v>
      </c>
      <c r="C6" s="33">
        <v>-3.503E-3</v>
      </c>
      <c r="D6" s="33">
        <v>-6.8009999999999998E-3</v>
      </c>
      <c r="E6" s="33">
        <v>-1.372E-2</v>
      </c>
      <c r="F6" s="33">
        <v>-2.385E-2</v>
      </c>
      <c r="G6" s="33">
        <v>-3.2190000000000003E-2</v>
      </c>
      <c r="H6" s="33">
        <v>-3.5220000000000001E-2</v>
      </c>
      <c r="I6" s="33">
        <v>-4.2250000000000003E-2</v>
      </c>
      <c r="J6" s="33">
        <v>-4.9279999999999997E-2</v>
      </c>
      <c r="K6" s="33">
        <v>-5.7959999999999998E-2</v>
      </c>
      <c r="L6" s="33">
        <v>-6.5290000000000001E-2</v>
      </c>
      <c r="M6" s="33">
        <v>-7.2650000000000006E-2</v>
      </c>
    </row>
    <row r="7" spans="1:13" ht="30" customHeight="1" x14ac:dyDescent="0.25">
      <c r="A7" s="29" t="s">
        <v>7</v>
      </c>
      <c r="B7" s="33">
        <v>6.9720000000000003E-4</v>
      </c>
      <c r="C7" s="33">
        <v>3.4849999999999998E-3</v>
      </c>
      <c r="D7" s="33">
        <v>6.7539999999999996E-3</v>
      </c>
      <c r="E7" s="33">
        <v>1.362E-2</v>
      </c>
      <c r="F7" s="33">
        <v>2.3439999999999999E-2</v>
      </c>
      <c r="G7" s="33">
        <v>3.1609999999999999E-2</v>
      </c>
      <c r="H7" s="33">
        <v>3.5029999999999999E-2</v>
      </c>
      <c r="I7" s="33">
        <v>4.2009999999999999E-2</v>
      </c>
      <c r="J7" s="33">
        <v>4.9000000000000002E-2</v>
      </c>
      <c r="K7" s="33">
        <v>5.7639999999999997E-2</v>
      </c>
      <c r="L7" s="33">
        <v>6.4930000000000002E-2</v>
      </c>
      <c r="M7" s="33">
        <v>7.2249999999999995E-2</v>
      </c>
    </row>
    <row r="8" spans="1:13" ht="30" customHeight="1" x14ac:dyDescent="0.25">
      <c r="A8" s="37" t="s">
        <v>8</v>
      </c>
      <c r="B8" s="38">
        <f>$B$4-B4</f>
        <v>0</v>
      </c>
      <c r="C8" s="38">
        <f t="shared" ref="C8:M8" si="0">$B$4-C4</f>
        <v>2.7878E-3</v>
      </c>
      <c r="D8" s="38">
        <f t="shared" si="0"/>
        <v>6.0567999999999993E-3</v>
      </c>
      <c r="E8" s="38">
        <f t="shared" si="0"/>
        <v>1.29228E-2</v>
      </c>
      <c r="F8" s="38">
        <f t="shared" si="0"/>
        <v>2.2742800000000001E-2</v>
      </c>
      <c r="G8" s="38">
        <f t="shared" si="0"/>
        <v>3.0912800000000001E-2</v>
      </c>
      <c r="H8" s="38">
        <f t="shared" si="0"/>
        <v>3.4322800000000001E-2</v>
      </c>
      <c r="I8" s="38">
        <f t="shared" si="0"/>
        <v>4.1312799999999997E-2</v>
      </c>
      <c r="J8" s="38">
        <f t="shared" si="0"/>
        <v>4.83028E-2</v>
      </c>
      <c r="K8" s="38">
        <f t="shared" si="0"/>
        <v>5.6942799999999995E-2</v>
      </c>
      <c r="L8" s="38">
        <f t="shared" si="0"/>
        <v>6.4232800000000007E-2</v>
      </c>
      <c r="M8" s="38">
        <f t="shared" si="0"/>
        <v>7.15528E-2</v>
      </c>
    </row>
  </sheetData>
  <mergeCells count="1">
    <mergeCell ref="A1:M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8BA8F-5981-416B-8E6F-FA8A674CC64D}">
  <dimension ref="B1:N8"/>
  <sheetViews>
    <sheetView showGridLines="0" zoomScaleNormal="100" workbookViewId="0">
      <selection activeCell="P15" sqref="P15"/>
    </sheetView>
  </sheetViews>
  <sheetFormatPr baseColWidth="10" defaultColWidth="11.42578125" defaultRowHeight="15" x14ac:dyDescent="0.25"/>
  <cols>
    <col min="2" max="2" width="14.28515625" customWidth="1"/>
    <col min="3" max="14" width="7.140625" bestFit="1" customWidth="1"/>
  </cols>
  <sheetData>
    <row r="1" spans="2:14" ht="15.75" x14ac:dyDescent="0.25">
      <c r="B1" s="180" t="s">
        <v>1</v>
      </c>
      <c r="C1" s="180"/>
      <c r="D1" s="180"/>
      <c r="E1" s="180"/>
      <c r="F1" s="180"/>
      <c r="G1" s="180"/>
      <c r="H1" s="180"/>
      <c r="I1" s="180"/>
      <c r="J1" s="180"/>
      <c r="K1" s="180"/>
      <c r="L1" s="180"/>
      <c r="M1" s="180"/>
      <c r="N1" s="180"/>
    </row>
    <row r="2" spans="2:14" ht="30" customHeight="1" x14ac:dyDescent="0.25">
      <c r="B2" s="39" t="s">
        <v>2</v>
      </c>
      <c r="C2" s="36">
        <v>0.1</v>
      </c>
      <c r="D2" s="36">
        <v>0.5</v>
      </c>
      <c r="E2" s="36">
        <v>1</v>
      </c>
      <c r="F2" s="36">
        <v>2</v>
      </c>
      <c r="G2" s="36">
        <v>3</v>
      </c>
      <c r="H2" s="36">
        <v>4</v>
      </c>
      <c r="I2" s="36">
        <v>5</v>
      </c>
      <c r="J2" s="36">
        <v>6</v>
      </c>
      <c r="K2" s="36">
        <v>7</v>
      </c>
      <c r="L2" s="36">
        <v>8</v>
      </c>
      <c r="M2" s="36">
        <v>9</v>
      </c>
      <c r="N2" s="36">
        <v>10</v>
      </c>
    </row>
    <row r="3" spans="2:14" ht="30" customHeight="1" x14ac:dyDescent="0.25">
      <c r="B3" s="30" t="s">
        <v>3</v>
      </c>
      <c r="C3" s="28">
        <v>-6.6850000000000007E-2</v>
      </c>
      <c r="D3" s="28">
        <v>-0.33410000000000001</v>
      </c>
      <c r="E3" s="28">
        <v>-0.66120000000000001</v>
      </c>
      <c r="F3" s="28">
        <v>-1.3420000000000001</v>
      </c>
      <c r="G3" s="28">
        <v>-2.238</v>
      </c>
      <c r="H3" s="28">
        <v>-3.004</v>
      </c>
      <c r="I3" s="28">
        <v>-3.2589999999999999</v>
      </c>
      <c r="J3" s="28">
        <v>-3.911</v>
      </c>
      <c r="K3" s="28">
        <v>-4.5640000000000001</v>
      </c>
      <c r="L3" s="28">
        <v>-5.7439999999999998</v>
      </c>
      <c r="M3" s="28">
        <v>-6.4809999999999999</v>
      </c>
      <c r="N3" s="28">
        <v>-7.2240000000000002</v>
      </c>
    </row>
    <row r="4" spans="2:14" ht="30" customHeight="1" x14ac:dyDescent="0.25">
      <c r="B4" s="30" t="s">
        <v>4</v>
      </c>
      <c r="C4" s="28">
        <v>-6.685E-3</v>
      </c>
      <c r="D4" s="28">
        <v>-3.3410000000000002E-2</v>
      </c>
      <c r="E4" s="28">
        <v>-6.6119999999999998E-2</v>
      </c>
      <c r="F4" s="28">
        <v>-0.13420000000000001</v>
      </c>
      <c r="G4" s="28">
        <v>-0.2238</v>
      </c>
      <c r="H4" s="28">
        <v>-0.3004</v>
      </c>
      <c r="I4" s="28">
        <v>-0.32590000000000002</v>
      </c>
      <c r="J4" s="28">
        <v>-0.3911</v>
      </c>
      <c r="K4" s="28">
        <v>-0.45639999999999997</v>
      </c>
      <c r="L4" s="28">
        <v>-0.57440000000000002</v>
      </c>
      <c r="M4" s="28">
        <v>-0.64810000000000001</v>
      </c>
      <c r="N4" s="28">
        <v>-0.72240000000000004</v>
      </c>
    </row>
    <row r="5" spans="2:14" ht="30" customHeight="1" x14ac:dyDescent="0.25">
      <c r="B5" s="30" t="s">
        <v>5</v>
      </c>
      <c r="C5" s="28">
        <v>-6.6290000000000003E-3</v>
      </c>
      <c r="D5" s="28">
        <v>-3.322E-2</v>
      </c>
      <c r="E5" s="28">
        <v>-6.3189999999999996E-2</v>
      </c>
      <c r="F5" s="28">
        <v>-0.1227</v>
      </c>
      <c r="G5" s="28">
        <v>-0.2223</v>
      </c>
      <c r="H5" s="28">
        <v>-0.29859999999999998</v>
      </c>
      <c r="I5" s="28">
        <v>-0.3251</v>
      </c>
      <c r="J5" s="28">
        <v>-0.39019999999999999</v>
      </c>
      <c r="K5" s="28">
        <v>-0.45529999999999998</v>
      </c>
      <c r="L5" s="28">
        <v>-0.57250000000000001</v>
      </c>
      <c r="M5" s="28">
        <v>-0.64590000000000003</v>
      </c>
      <c r="N5" s="28">
        <v>-0.71989999999999998</v>
      </c>
    </row>
    <row r="6" spans="2:14" ht="30" customHeight="1" x14ac:dyDescent="0.25">
      <c r="B6" s="30" t="s">
        <v>6</v>
      </c>
      <c r="C6" s="28">
        <v>-6.7470000000000004E-3</v>
      </c>
      <c r="D6" s="28">
        <v>-3.363E-2</v>
      </c>
      <c r="E6" s="28">
        <v>-6.9239999999999996E-2</v>
      </c>
      <c r="F6" s="28">
        <v>-0.1449</v>
      </c>
      <c r="G6" s="28">
        <v>-0.22489999999999999</v>
      </c>
      <c r="H6" s="28">
        <v>-0.30199999999999999</v>
      </c>
      <c r="I6" s="28">
        <v>-0.3256</v>
      </c>
      <c r="J6" s="28">
        <v>-0.39179999999999998</v>
      </c>
      <c r="K6" s="28">
        <v>-0.4572</v>
      </c>
      <c r="L6" s="28">
        <v>-0.57620000000000005</v>
      </c>
      <c r="M6" s="28">
        <v>-0.6502</v>
      </c>
      <c r="N6" s="28">
        <v>-0.7248</v>
      </c>
    </row>
    <row r="7" spans="2:14" ht="30" customHeight="1" x14ac:dyDescent="0.25">
      <c r="B7" s="30" t="s">
        <v>7</v>
      </c>
      <c r="C7" s="28">
        <v>6.685E-3</v>
      </c>
      <c r="D7" s="28">
        <v>3.3410000000000002E-2</v>
      </c>
      <c r="E7" s="28">
        <v>6.6180000000000003E-2</v>
      </c>
      <c r="F7" s="28">
        <v>0.1346</v>
      </c>
      <c r="G7" s="28">
        <v>0.22389999999999999</v>
      </c>
      <c r="H7" s="28">
        <v>0.3004</v>
      </c>
      <c r="I7" s="28">
        <v>0.32590000000000002</v>
      </c>
      <c r="J7" s="28">
        <v>0.3911</v>
      </c>
      <c r="K7" s="28">
        <v>0.45639999999999997</v>
      </c>
      <c r="L7" s="28">
        <v>0.57440000000000002</v>
      </c>
      <c r="M7" s="28">
        <v>0.64810000000000001</v>
      </c>
      <c r="N7" s="28">
        <v>0.72240000000000004</v>
      </c>
    </row>
    <row r="8" spans="2:14" ht="30" customHeight="1" x14ac:dyDescent="0.25">
      <c r="B8" s="31" t="s">
        <v>8</v>
      </c>
      <c r="C8" s="32">
        <f>$C$4-C4</f>
        <v>0</v>
      </c>
      <c r="D8" s="32">
        <f t="shared" ref="D8:N8" si="0">$C$4-D4</f>
        <v>2.6725000000000002E-2</v>
      </c>
      <c r="E8" s="32">
        <f t="shared" si="0"/>
        <v>5.9435000000000002E-2</v>
      </c>
      <c r="F8" s="32">
        <f t="shared" si="0"/>
        <v>0.12751500000000002</v>
      </c>
      <c r="G8" s="32">
        <f t="shared" si="0"/>
        <v>0.217115</v>
      </c>
      <c r="H8" s="32">
        <f t="shared" si="0"/>
        <v>0.293715</v>
      </c>
      <c r="I8" s="32">
        <f t="shared" si="0"/>
        <v>0.31921500000000003</v>
      </c>
      <c r="J8" s="32">
        <f t="shared" si="0"/>
        <v>0.38441500000000001</v>
      </c>
      <c r="K8" s="32">
        <f t="shared" si="0"/>
        <v>0.44971499999999998</v>
      </c>
      <c r="L8" s="32">
        <f t="shared" si="0"/>
        <v>0.56771499999999997</v>
      </c>
      <c r="M8" s="32">
        <f t="shared" si="0"/>
        <v>0.64141499999999996</v>
      </c>
      <c r="N8" s="32">
        <f t="shared" si="0"/>
        <v>0.71571499999999999</v>
      </c>
    </row>
  </sheetData>
  <mergeCells count="1">
    <mergeCell ref="B1:N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E2D2-1AF2-4619-A6E4-F1E87B42AFE3}">
  <dimension ref="A1:M3"/>
  <sheetViews>
    <sheetView showGridLines="0" zoomScaleNormal="100" workbookViewId="0">
      <selection activeCell="P32" sqref="P32"/>
    </sheetView>
  </sheetViews>
  <sheetFormatPr baseColWidth="10" defaultColWidth="11.42578125" defaultRowHeight="15" x14ac:dyDescent="0.25"/>
  <cols>
    <col min="1" max="1" width="15.28515625" customWidth="1"/>
    <col min="2" max="13" width="7.42578125"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5" t="s">
        <v>2</v>
      </c>
      <c r="B2" s="36">
        <v>0.1</v>
      </c>
      <c r="C2" s="36">
        <v>0.5</v>
      </c>
      <c r="D2" s="36">
        <v>1</v>
      </c>
      <c r="E2" s="36">
        <v>2</v>
      </c>
      <c r="F2" s="36">
        <v>3</v>
      </c>
      <c r="G2" s="36">
        <v>4</v>
      </c>
      <c r="H2" s="36">
        <v>5</v>
      </c>
      <c r="I2" s="36">
        <v>6</v>
      </c>
      <c r="J2" s="36">
        <v>7</v>
      </c>
      <c r="K2" s="36">
        <v>8</v>
      </c>
      <c r="L2" s="36">
        <v>9</v>
      </c>
      <c r="M2" s="36">
        <v>10</v>
      </c>
    </row>
    <row r="3" spans="1:13" ht="30" customHeight="1" x14ac:dyDescent="0.25">
      <c r="A3" s="37" t="s">
        <v>65</v>
      </c>
      <c r="B3" s="38">
        <v>0</v>
      </c>
      <c r="C3" s="38">
        <v>0</v>
      </c>
      <c r="D3" s="38">
        <v>0</v>
      </c>
      <c r="E3" s="38">
        <v>0</v>
      </c>
      <c r="F3" s="38">
        <v>2.9E-5</v>
      </c>
      <c r="G3" s="38">
        <v>3.8000000000000002E-4</v>
      </c>
      <c r="H3" s="38">
        <v>4.8000000000000001E-4</v>
      </c>
      <c r="I3" s="38">
        <v>5.8E-4</v>
      </c>
      <c r="J3" s="38">
        <v>6.7000000000000002E-4</v>
      </c>
      <c r="K3" s="38">
        <v>7.6999999999999996E-4</v>
      </c>
      <c r="L3" s="38">
        <v>8.5999999999999998E-4</v>
      </c>
      <c r="M3" s="38">
        <v>9.6000000000000002E-4</v>
      </c>
    </row>
  </sheetData>
  <mergeCells count="1">
    <mergeCell ref="A1:M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99112-1C2A-44BE-9C3C-53D5EF168A94}">
  <dimension ref="A1:M8"/>
  <sheetViews>
    <sheetView showGridLines="0" zoomScaleNormal="100" workbookViewId="0">
      <selection activeCell="J6" sqref="J6"/>
    </sheetView>
  </sheetViews>
  <sheetFormatPr baseColWidth="10" defaultColWidth="11.42578125" defaultRowHeight="15" x14ac:dyDescent="0.25"/>
  <cols>
    <col min="1" max="1" width="14.28515625" customWidth="1"/>
    <col min="2" max="13" width="6.42578125"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9" t="s">
        <v>2</v>
      </c>
      <c r="B2" s="36">
        <v>0.1</v>
      </c>
      <c r="C2" s="36">
        <v>0.5</v>
      </c>
      <c r="D2" s="36">
        <v>1</v>
      </c>
      <c r="E2" s="36">
        <v>2</v>
      </c>
      <c r="F2" s="36">
        <v>3</v>
      </c>
      <c r="G2" s="36">
        <v>4</v>
      </c>
      <c r="H2" s="36">
        <v>5</v>
      </c>
      <c r="I2" s="36">
        <v>6</v>
      </c>
      <c r="J2" s="36">
        <v>7</v>
      </c>
      <c r="K2" s="36">
        <v>8</v>
      </c>
      <c r="L2" s="36">
        <v>9</v>
      </c>
      <c r="M2" s="36">
        <v>10</v>
      </c>
    </row>
    <row r="3" spans="1:13" ht="30" customHeight="1" x14ac:dyDescent="0.25">
      <c r="A3" s="30" t="s">
        <v>3</v>
      </c>
      <c r="B3" s="28">
        <v>6.4999999999999997E-3</v>
      </c>
      <c r="C3" s="28">
        <v>3.2300000000000002E-2</v>
      </c>
      <c r="D3" s="28">
        <v>6.4600000000000005E-2</v>
      </c>
      <c r="E3" s="28">
        <v>0.12920000000000001</v>
      </c>
      <c r="F3" s="28">
        <v>0.1938</v>
      </c>
      <c r="G3" s="28">
        <v>0.25840000000000002</v>
      </c>
      <c r="H3" s="28">
        <v>0.32300000000000001</v>
      </c>
      <c r="I3" s="28">
        <v>0.3876</v>
      </c>
      <c r="J3" s="28">
        <v>0.45219999999999999</v>
      </c>
      <c r="K3" s="28">
        <v>0.51680000000000004</v>
      </c>
      <c r="L3" s="28">
        <v>0.58150000000000002</v>
      </c>
      <c r="M3" s="28">
        <v>0.64610000000000001</v>
      </c>
    </row>
    <row r="4" spans="1:13" ht="30" customHeight="1" x14ac:dyDescent="0.25">
      <c r="A4" s="30" t="s">
        <v>4</v>
      </c>
      <c r="B4" s="28">
        <v>1E-4</v>
      </c>
      <c r="C4" s="28">
        <v>5.9999999999999995E-4</v>
      </c>
      <c r="D4" s="28">
        <v>1.1000000000000001E-3</v>
      </c>
      <c r="E4" s="28">
        <v>2.2000000000000001E-3</v>
      </c>
      <c r="F4" s="28">
        <v>3.3E-3</v>
      </c>
      <c r="G4" s="28">
        <v>4.4999999999999997E-3</v>
      </c>
      <c r="H4" s="28">
        <v>5.5999999999999999E-3</v>
      </c>
      <c r="I4" s="28">
        <v>6.7000000000000002E-3</v>
      </c>
      <c r="J4" s="28">
        <v>7.7999999999999996E-3</v>
      </c>
      <c r="K4" s="28">
        <v>8.8999999999999999E-3</v>
      </c>
      <c r="L4" s="28">
        <v>0.01</v>
      </c>
      <c r="M4" s="28">
        <v>1.11E-2</v>
      </c>
    </row>
    <row r="5" spans="1:13" ht="30" customHeight="1" x14ac:dyDescent="0.25">
      <c r="A5" s="30" t="s">
        <v>5</v>
      </c>
      <c r="B5" s="28">
        <v>1E-4</v>
      </c>
      <c r="C5" s="28">
        <v>5.9999999999999995E-4</v>
      </c>
      <c r="D5" s="28">
        <v>1.1000000000000001E-3</v>
      </c>
      <c r="E5" s="28">
        <v>2.2000000000000001E-3</v>
      </c>
      <c r="F5" s="28">
        <v>3.3E-3</v>
      </c>
      <c r="G5" s="28">
        <v>4.4999999999999997E-3</v>
      </c>
      <c r="H5" s="28">
        <v>5.5999999999999999E-3</v>
      </c>
      <c r="I5" s="28">
        <v>6.7000000000000002E-3</v>
      </c>
      <c r="J5" s="28">
        <v>7.7999999999999996E-3</v>
      </c>
      <c r="K5" s="28">
        <v>8.8999999999999999E-3</v>
      </c>
      <c r="L5" s="28">
        <v>0.01</v>
      </c>
      <c r="M5" s="28">
        <v>1.11E-2</v>
      </c>
    </row>
    <row r="6" spans="1:13" ht="30" customHeight="1" x14ac:dyDescent="0.25">
      <c r="A6" s="30" t="s">
        <v>6</v>
      </c>
      <c r="B6" s="28">
        <v>1E-4</v>
      </c>
      <c r="C6" s="28">
        <v>5.9999999999999995E-4</v>
      </c>
      <c r="D6" s="28">
        <v>1.1000000000000001E-3</v>
      </c>
      <c r="E6" s="28">
        <v>2.2000000000000001E-3</v>
      </c>
      <c r="F6" s="28">
        <v>3.3E-3</v>
      </c>
      <c r="G6" s="28">
        <v>4.4999999999999997E-3</v>
      </c>
      <c r="H6" s="28">
        <v>5.5999999999999999E-3</v>
      </c>
      <c r="I6" s="28">
        <v>6.7000000000000002E-3</v>
      </c>
      <c r="J6" s="28">
        <v>7.7999999999999996E-3</v>
      </c>
      <c r="K6" s="28">
        <v>8.8999999999999999E-3</v>
      </c>
      <c r="L6" s="28">
        <v>0.01</v>
      </c>
      <c r="M6" s="28">
        <v>1.11E-2</v>
      </c>
    </row>
    <row r="7" spans="1:13" ht="30" customHeight="1" x14ac:dyDescent="0.25">
      <c r="A7" s="30" t="s">
        <v>7</v>
      </c>
      <c r="B7" s="28">
        <v>1E-4</v>
      </c>
      <c r="C7" s="28">
        <v>5.9999999999999995E-4</v>
      </c>
      <c r="D7" s="28">
        <v>1.1000000000000001E-3</v>
      </c>
      <c r="E7" s="28">
        <v>2.2000000000000001E-3</v>
      </c>
      <c r="F7" s="28">
        <v>3.3E-3</v>
      </c>
      <c r="G7" s="28">
        <v>4.4999999999999997E-3</v>
      </c>
      <c r="H7" s="28">
        <v>5.5999999999999999E-3</v>
      </c>
      <c r="I7" s="28">
        <v>6.7000000000000002E-3</v>
      </c>
      <c r="J7" s="28">
        <v>7.7999999999999996E-3</v>
      </c>
      <c r="K7" s="28">
        <v>8.8999999999999999E-3</v>
      </c>
      <c r="L7" s="28">
        <v>0.01</v>
      </c>
      <c r="M7" s="28">
        <v>1.11E-2</v>
      </c>
    </row>
    <row r="8" spans="1:13" ht="30" customHeight="1" x14ac:dyDescent="0.25">
      <c r="A8" s="31" t="s">
        <v>8</v>
      </c>
      <c r="B8" s="32">
        <f>B4-$B$4</f>
        <v>0</v>
      </c>
      <c r="C8" s="32">
        <f t="shared" ref="C8:M8" si="0">C4-$B$4</f>
        <v>4.999999999999999E-4</v>
      </c>
      <c r="D8" s="32">
        <f t="shared" si="0"/>
        <v>1E-3</v>
      </c>
      <c r="E8" s="32">
        <f t="shared" si="0"/>
        <v>2.1000000000000003E-3</v>
      </c>
      <c r="F8" s="32">
        <f t="shared" si="0"/>
        <v>3.2000000000000002E-3</v>
      </c>
      <c r="G8" s="32">
        <f t="shared" si="0"/>
        <v>4.3999999999999994E-3</v>
      </c>
      <c r="H8" s="32">
        <f t="shared" si="0"/>
        <v>5.4999999999999997E-3</v>
      </c>
      <c r="I8" s="32">
        <f t="shared" si="0"/>
        <v>6.6E-3</v>
      </c>
      <c r="J8" s="32">
        <f t="shared" si="0"/>
        <v>7.6999999999999994E-3</v>
      </c>
      <c r="K8" s="32">
        <f t="shared" si="0"/>
        <v>8.8000000000000005E-3</v>
      </c>
      <c r="L8" s="32">
        <f t="shared" si="0"/>
        <v>9.9000000000000008E-3</v>
      </c>
      <c r="M8" s="32">
        <f t="shared" si="0"/>
        <v>1.1000000000000001E-2</v>
      </c>
    </row>
  </sheetData>
  <mergeCells count="1">
    <mergeCell ref="A1:M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941B8-458E-440D-9A0A-7E2AE0B48794}">
  <dimension ref="A1:M49"/>
  <sheetViews>
    <sheetView showGridLines="0" zoomScale="110" zoomScaleNormal="110" workbookViewId="0">
      <selection activeCell="M2" sqref="M2"/>
    </sheetView>
  </sheetViews>
  <sheetFormatPr baseColWidth="10" defaultColWidth="11.42578125" defaultRowHeight="15" x14ac:dyDescent="0.25"/>
  <cols>
    <col min="1" max="1" width="15.7109375" customWidth="1"/>
    <col min="2" max="13" width="8.7109375"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5" t="s">
        <v>2</v>
      </c>
      <c r="B2" s="36">
        <v>0.1</v>
      </c>
      <c r="C2" s="36">
        <v>0.5</v>
      </c>
      <c r="D2" s="36">
        <v>1</v>
      </c>
      <c r="E2" s="36">
        <v>2</v>
      </c>
      <c r="F2" s="36">
        <v>3</v>
      </c>
      <c r="G2" s="36">
        <v>4</v>
      </c>
      <c r="H2" s="36">
        <v>5</v>
      </c>
      <c r="I2" s="36">
        <v>6</v>
      </c>
      <c r="J2" s="36">
        <v>7</v>
      </c>
      <c r="K2" s="36">
        <v>8</v>
      </c>
      <c r="L2" s="36">
        <v>9</v>
      </c>
      <c r="M2" s="36">
        <v>10</v>
      </c>
    </row>
    <row r="3" spans="1:13" ht="30" customHeight="1" x14ac:dyDescent="0.25">
      <c r="A3" s="29" t="s">
        <v>3</v>
      </c>
      <c r="B3" s="43">
        <v>-9.6500000000000006E-3</v>
      </c>
      <c r="C3" s="43">
        <v>-4.8250000000000001E-2</v>
      </c>
      <c r="D3" s="43">
        <v>-9.6500000000000002E-2</v>
      </c>
      <c r="E3" s="43">
        <v>-0.19302</v>
      </c>
      <c r="F3" s="43">
        <v>-0.28953000000000001</v>
      </c>
      <c r="G3" s="43">
        <v>-0.38603999999999999</v>
      </c>
      <c r="H3" s="43">
        <v>-0.48255999999999999</v>
      </c>
      <c r="I3" s="43">
        <v>-0.57908999999999999</v>
      </c>
      <c r="J3" s="43">
        <v>-0.67561000000000004</v>
      </c>
      <c r="K3" s="43">
        <v>-0.77214000000000005</v>
      </c>
      <c r="L3" s="43">
        <v>-0.86868000000000001</v>
      </c>
      <c r="M3" s="43">
        <v>-0.96521999999999997</v>
      </c>
    </row>
    <row r="4" spans="1:13" ht="30" customHeight="1" x14ac:dyDescent="0.25">
      <c r="A4" s="29" t="s">
        <v>4</v>
      </c>
      <c r="B4" s="43">
        <v>-4.0000000000000003E-5</v>
      </c>
      <c r="C4" s="43">
        <v>-1.9000000000000001E-4</v>
      </c>
      <c r="D4" s="43">
        <v>-3.6999999999999999E-4</v>
      </c>
      <c r="E4" s="43">
        <v>-7.5000000000000002E-4</v>
      </c>
      <c r="F4" s="43">
        <v>-1.1199999999999999E-3</v>
      </c>
      <c r="G4" s="43">
        <v>-1.5E-3</v>
      </c>
      <c r="H4" s="43">
        <v>-1.8699999999999999E-3</v>
      </c>
      <c r="I4" s="43">
        <v>-2.2399999999999998E-3</v>
      </c>
      <c r="J4" s="43">
        <v>-2.6199999999999999E-3</v>
      </c>
      <c r="K4" s="43">
        <v>-2.99E-3</v>
      </c>
      <c r="L4" s="43">
        <v>-3.3700000000000002E-3</v>
      </c>
      <c r="M4" s="43">
        <v>-3.7399999999999998E-3</v>
      </c>
    </row>
    <row r="5" spans="1:13" ht="30" customHeight="1" x14ac:dyDescent="0.25">
      <c r="A5" s="29" t="s">
        <v>5</v>
      </c>
      <c r="B5" s="43">
        <v>0</v>
      </c>
      <c r="C5" s="43">
        <v>0</v>
      </c>
      <c r="D5" s="43">
        <v>0</v>
      </c>
      <c r="E5" s="43">
        <v>0</v>
      </c>
      <c r="F5" s="43">
        <v>0</v>
      </c>
      <c r="G5" s="43">
        <v>0</v>
      </c>
      <c r="H5" s="43">
        <v>0</v>
      </c>
      <c r="I5" s="43">
        <v>0</v>
      </c>
      <c r="J5" s="43">
        <v>0</v>
      </c>
      <c r="K5" s="43">
        <v>0</v>
      </c>
      <c r="L5" s="43">
        <v>0</v>
      </c>
      <c r="M5" s="43">
        <v>0</v>
      </c>
    </row>
    <row r="6" spans="1:13" ht="30" customHeight="1" x14ac:dyDescent="0.25">
      <c r="A6" s="29" t="s">
        <v>6</v>
      </c>
      <c r="B6" s="43">
        <v>-5.0000000000000002E-5</v>
      </c>
      <c r="C6" s="43">
        <v>-2.4000000000000001E-4</v>
      </c>
      <c r="D6" s="43">
        <v>-4.8999999999999998E-4</v>
      </c>
      <c r="E6" s="43">
        <v>-9.7000000000000005E-4</v>
      </c>
      <c r="F6" s="43">
        <v>-1.4599999999999999E-3</v>
      </c>
      <c r="G6" s="43">
        <v>-1.9400000000000001E-3</v>
      </c>
      <c r="H6" s="43">
        <v>-2.4299999999999999E-3</v>
      </c>
      <c r="I6" s="43">
        <v>-2.9199999999999999E-3</v>
      </c>
      <c r="J6" s="43">
        <v>-3.3999999999999998E-3</v>
      </c>
      <c r="K6" s="43">
        <v>-3.8899999999999998E-3</v>
      </c>
      <c r="L6" s="43">
        <v>-4.3699999999999998E-3</v>
      </c>
      <c r="M6" s="43">
        <v>-4.8599999999999997E-3</v>
      </c>
    </row>
    <row r="7" spans="1:13" ht="30" customHeight="1" x14ac:dyDescent="0.25">
      <c r="A7" s="29" t="s">
        <v>7</v>
      </c>
      <c r="B7" s="43">
        <v>4.0000000000000003E-5</v>
      </c>
      <c r="C7" s="43">
        <v>2.0000000000000001E-4</v>
      </c>
      <c r="D7" s="43">
        <v>3.8999999999999999E-4</v>
      </c>
      <c r="E7" s="43">
        <v>7.7999999999999999E-4</v>
      </c>
      <c r="F7" s="43">
        <v>1.17E-3</v>
      </c>
      <c r="G7" s="43">
        <v>1.56E-3</v>
      </c>
      <c r="H7" s="43">
        <v>1.9499999999999999E-3</v>
      </c>
      <c r="I7" s="43">
        <v>2.3400000000000001E-3</v>
      </c>
      <c r="J7" s="43">
        <v>2.7299999999999998E-3</v>
      </c>
      <c r="K7" s="43">
        <v>3.1199999999999999E-3</v>
      </c>
      <c r="L7" s="43">
        <v>3.5100000000000001E-3</v>
      </c>
      <c r="M7" s="43">
        <v>3.8999999999999998E-3</v>
      </c>
    </row>
    <row r="8" spans="1:13" ht="30" customHeight="1" x14ac:dyDescent="0.25">
      <c r="A8" s="37" t="s">
        <v>8</v>
      </c>
      <c r="B8" s="44">
        <f>$B$4-B4</f>
        <v>0</v>
      </c>
      <c r="C8" s="44">
        <f>$B$4-C4</f>
        <v>1.5000000000000001E-4</v>
      </c>
      <c r="D8" s="44">
        <f>$B$4-D4</f>
        <v>3.3E-4</v>
      </c>
      <c r="E8" s="44">
        <f>$B$4-E4</f>
        <v>7.1000000000000002E-4</v>
      </c>
      <c r="F8" s="44">
        <f t="shared" ref="F8:M8" si="0">$B$4-F4</f>
        <v>1.0799999999999998E-3</v>
      </c>
      <c r="G8" s="44">
        <f t="shared" si="0"/>
        <v>1.4599999999999999E-3</v>
      </c>
      <c r="H8" s="44">
        <f t="shared" si="0"/>
        <v>1.8299999999999998E-3</v>
      </c>
      <c r="I8" s="44">
        <f>$B$4-I4</f>
        <v>2.1999999999999997E-3</v>
      </c>
      <c r="J8" s="44">
        <f t="shared" si="0"/>
        <v>2.5799999999999998E-3</v>
      </c>
      <c r="K8" s="44">
        <f t="shared" si="0"/>
        <v>2.9499999999999999E-3</v>
      </c>
      <c r="L8" s="44">
        <f t="shared" si="0"/>
        <v>3.3300000000000001E-3</v>
      </c>
      <c r="M8" s="44">
        <f t="shared" si="0"/>
        <v>3.6999999999999997E-3</v>
      </c>
    </row>
    <row r="49" spans="8:8" x14ac:dyDescent="0.25">
      <c r="H49">
        <v>0</v>
      </c>
    </row>
  </sheetData>
  <mergeCells count="1">
    <mergeCell ref="A1:M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102-ECF7-4507-99AA-EB29E58FE6B0}">
  <dimension ref="A1:M8"/>
  <sheetViews>
    <sheetView showGridLines="0" zoomScaleNormal="100" workbookViewId="0">
      <selection activeCell="L8" sqref="L8"/>
    </sheetView>
  </sheetViews>
  <sheetFormatPr baseColWidth="10" defaultColWidth="11.42578125" defaultRowHeight="15" x14ac:dyDescent="0.25"/>
  <cols>
    <col min="1" max="1" width="14.28515625" customWidth="1"/>
    <col min="2" max="13" width="7.140625"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5" t="s">
        <v>2</v>
      </c>
      <c r="B2" s="36">
        <v>0.1</v>
      </c>
      <c r="C2" s="36">
        <v>0.5</v>
      </c>
      <c r="D2" s="36">
        <v>1</v>
      </c>
      <c r="E2" s="36">
        <v>2</v>
      </c>
      <c r="F2" s="36">
        <v>3</v>
      </c>
      <c r="G2" s="36">
        <v>4</v>
      </c>
      <c r="H2" s="36">
        <v>5</v>
      </c>
      <c r="I2" s="36">
        <v>6</v>
      </c>
      <c r="J2" s="36">
        <v>7</v>
      </c>
      <c r="K2" s="36">
        <v>8</v>
      </c>
      <c r="L2" s="36">
        <v>9</v>
      </c>
      <c r="M2" s="36">
        <v>10</v>
      </c>
    </row>
    <row r="3" spans="1:13" ht="30" customHeight="1" x14ac:dyDescent="0.25">
      <c r="A3" s="29" t="s">
        <v>3</v>
      </c>
      <c r="B3" s="28">
        <v>-2.3800000000000002E-2</v>
      </c>
      <c r="C3" s="28">
        <v>-0.11899999999999999</v>
      </c>
      <c r="D3" s="28">
        <v>-0.23799999999999999</v>
      </c>
      <c r="E3" s="28">
        <v>-0.47599999999999998</v>
      </c>
      <c r="F3" s="28">
        <v>-0.71399999999999997</v>
      </c>
      <c r="G3" s="28">
        <v>-0.95299999999999996</v>
      </c>
      <c r="H3" s="28">
        <v>-1.19</v>
      </c>
      <c r="I3" s="28">
        <v>-1.43</v>
      </c>
      <c r="J3" s="28">
        <v>-1.67</v>
      </c>
      <c r="K3" s="28">
        <v>-1.91</v>
      </c>
      <c r="L3" s="28">
        <v>-2.14</v>
      </c>
      <c r="M3" s="28">
        <v>-2.38</v>
      </c>
    </row>
    <row r="4" spans="1:13" ht="30" customHeight="1" x14ac:dyDescent="0.25">
      <c r="A4" s="29" t="s">
        <v>4</v>
      </c>
      <c r="B4" s="28">
        <v>-2.0900000000000001E-4</v>
      </c>
      <c r="C4" s="28">
        <v>-1.0399999999999999E-3</v>
      </c>
      <c r="D4" s="28">
        <v>-2.0899999999999998E-3</v>
      </c>
      <c r="E4" s="28">
        <v>-4.1799999999999997E-3</v>
      </c>
      <c r="F4" s="28">
        <v>-6.2700000000000004E-3</v>
      </c>
      <c r="G4" s="28">
        <v>-8.3599999999999994E-3</v>
      </c>
      <c r="H4" s="28">
        <v>-1.04E-2</v>
      </c>
      <c r="I4" s="28">
        <v>-1.2500000000000001E-2</v>
      </c>
      <c r="J4" s="28">
        <v>-1.46E-2</v>
      </c>
      <c r="K4" s="28">
        <v>-1.67E-2</v>
      </c>
      <c r="L4" s="28">
        <v>-1.8800000000000001E-2</v>
      </c>
      <c r="M4" s="28">
        <v>-2.0899999999999998E-2</v>
      </c>
    </row>
    <row r="5" spans="1:13" ht="30" customHeight="1" x14ac:dyDescent="0.25">
      <c r="A5" s="29" t="s">
        <v>5</v>
      </c>
      <c r="B5" s="28">
        <v>-2.0900000000000001E-4</v>
      </c>
      <c r="C5" s="28">
        <v>-1.0399999999999999E-3</v>
      </c>
      <c r="D5" s="28">
        <v>-2.0899999999999998E-3</v>
      </c>
      <c r="E5" s="28">
        <v>-4.1700000000000001E-3</v>
      </c>
      <c r="F5" s="28">
        <v>-6.2599999999999999E-3</v>
      </c>
      <c r="G5" s="28">
        <v>-5.3499999999999997E-3</v>
      </c>
      <c r="H5" s="28">
        <v>-1.04E-2</v>
      </c>
      <c r="I5" s="28">
        <v>-1.2500000000000001E-2</v>
      </c>
      <c r="J5" s="28">
        <v>-1.46E-2</v>
      </c>
      <c r="K5" s="28">
        <v>-1.67E-2</v>
      </c>
      <c r="L5" s="28">
        <v>-1.8800000000000001E-2</v>
      </c>
      <c r="M5" s="28">
        <v>-2.0899999999999998E-2</v>
      </c>
    </row>
    <row r="6" spans="1:13" ht="30" customHeight="1" x14ac:dyDescent="0.25">
      <c r="A6" s="29" t="s">
        <v>6</v>
      </c>
      <c r="B6" s="28">
        <v>-2.0900000000000001E-4</v>
      </c>
      <c r="C6" s="28">
        <v>-1.0499999999999999E-3</v>
      </c>
      <c r="D6" s="28">
        <v>-2.0899999999999998E-3</v>
      </c>
      <c r="E6" s="28">
        <v>-4.1799999999999997E-3</v>
      </c>
      <c r="F6" s="28">
        <v>-6.2700000000000004E-3</v>
      </c>
      <c r="G6" s="28">
        <v>-8.3599999999999994E-3</v>
      </c>
      <c r="H6" s="28">
        <v>-1.0500000000000001E-2</v>
      </c>
      <c r="I6" s="28">
        <v>-1.2500000000000001E-2</v>
      </c>
      <c r="J6" s="28">
        <v>-1.46E-2</v>
      </c>
      <c r="K6" s="28">
        <v>-1.67E-2</v>
      </c>
      <c r="L6" s="28">
        <v>-1.8800000000000001E-2</v>
      </c>
      <c r="M6" s="28">
        <v>-2.0899999999999998E-2</v>
      </c>
    </row>
    <row r="7" spans="1:13" ht="30" customHeight="1" x14ac:dyDescent="0.25">
      <c r="A7" s="29" t="s">
        <v>7</v>
      </c>
      <c r="B7" s="28">
        <v>2.0900000000000001E-4</v>
      </c>
      <c r="C7" s="28">
        <v>1.0399999999999999E-3</v>
      </c>
      <c r="D7" s="28">
        <v>2.0899999999999998E-3</v>
      </c>
      <c r="E7" s="28">
        <v>4.1799999999999997E-3</v>
      </c>
      <c r="F7" s="28">
        <v>6.2700000000000004E-3</v>
      </c>
      <c r="G7" s="28">
        <v>8.3599999999999994E-3</v>
      </c>
      <c r="H7" s="28">
        <v>1.04E-2</v>
      </c>
      <c r="I7" s="28">
        <v>1.2500000000000001E-2</v>
      </c>
      <c r="J7" s="28">
        <v>1.46E-2</v>
      </c>
      <c r="K7" s="28">
        <v>1.67E-2</v>
      </c>
      <c r="L7" s="28">
        <v>1.8800000000000001E-2</v>
      </c>
      <c r="M7" s="28">
        <v>2.0899999999999998E-2</v>
      </c>
    </row>
    <row r="8" spans="1:13" ht="30" customHeight="1" x14ac:dyDescent="0.25">
      <c r="A8" s="37" t="s">
        <v>8</v>
      </c>
      <c r="B8" s="32">
        <f>$B$4-B4</f>
        <v>0</v>
      </c>
      <c r="C8" s="32">
        <f t="shared" ref="C8:L8" si="0">$B$4-C4</f>
        <v>8.3099999999999992E-4</v>
      </c>
      <c r="D8" s="32">
        <f t="shared" si="0"/>
        <v>1.8809999999999999E-3</v>
      </c>
      <c r="E8" s="32">
        <f t="shared" si="0"/>
        <v>3.9709999999999997E-3</v>
      </c>
      <c r="F8" s="32">
        <f t="shared" si="0"/>
        <v>6.0610000000000004E-3</v>
      </c>
      <c r="G8" s="32">
        <f t="shared" si="0"/>
        <v>8.1509999999999985E-3</v>
      </c>
      <c r="H8" s="32">
        <f t="shared" si="0"/>
        <v>1.0190999999999999E-2</v>
      </c>
      <c r="I8" s="32">
        <f t="shared" si="0"/>
        <v>1.2291E-2</v>
      </c>
      <c r="J8" s="32">
        <f t="shared" si="0"/>
        <v>1.4390999999999999E-2</v>
      </c>
      <c r="K8" s="32">
        <f t="shared" si="0"/>
        <v>1.6490999999999999E-2</v>
      </c>
      <c r="L8" s="32">
        <f t="shared" si="0"/>
        <v>1.8591E-2</v>
      </c>
      <c r="M8" s="32">
        <f>$B$4-M4</f>
        <v>2.0690999999999998E-2</v>
      </c>
    </row>
  </sheetData>
  <mergeCells count="1">
    <mergeCell ref="A1:M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1B245-3EE3-4469-9C94-F1D3B8C0CA6B}">
  <dimension ref="A1:M8"/>
  <sheetViews>
    <sheetView showGridLines="0" zoomScaleNormal="100" workbookViewId="0">
      <selection activeCell="M8" sqref="A2:M8"/>
    </sheetView>
  </sheetViews>
  <sheetFormatPr baseColWidth="10" defaultColWidth="11.42578125" defaultRowHeight="15" x14ac:dyDescent="0.25"/>
  <cols>
    <col min="1" max="1" width="14.42578125" customWidth="1"/>
    <col min="2" max="2" width="8.7109375" bestFit="1" customWidth="1"/>
    <col min="3" max="5" width="9.7109375" customWidth="1"/>
    <col min="6" max="7" width="9" bestFit="1" customWidth="1"/>
    <col min="8" max="13" width="8"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5" t="s">
        <v>2</v>
      </c>
      <c r="B2" s="36">
        <v>0.1</v>
      </c>
      <c r="C2" s="36">
        <v>0.5</v>
      </c>
      <c r="D2" s="36">
        <v>1</v>
      </c>
      <c r="E2" s="36">
        <v>2</v>
      </c>
      <c r="F2" s="36">
        <v>3</v>
      </c>
      <c r="G2" s="36">
        <v>4</v>
      </c>
      <c r="H2" s="36">
        <v>5</v>
      </c>
      <c r="I2" s="36">
        <v>6</v>
      </c>
      <c r="J2" s="36">
        <v>7</v>
      </c>
      <c r="K2" s="36">
        <v>8</v>
      </c>
      <c r="L2" s="36">
        <v>9</v>
      </c>
      <c r="M2" s="36">
        <v>10</v>
      </c>
    </row>
    <row r="3" spans="1:13" ht="30" customHeight="1" x14ac:dyDescent="0.25">
      <c r="A3" s="29" t="s">
        <v>3</v>
      </c>
      <c r="B3" s="43">
        <v>-4.2679999999999998</v>
      </c>
      <c r="C3" s="43">
        <v>-3.407</v>
      </c>
      <c r="D3" s="43">
        <v>-2.3679999999999999</v>
      </c>
      <c r="E3" s="43">
        <v>-4.3360000000000003E-2</v>
      </c>
      <c r="F3" s="43">
        <v>1.27</v>
      </c>
      <c r="G3" s="43">
        <v>2.9489999999999998</v>
      </c>
      <c r="H3" s="43">
        <v>4.6849999999999996</v>
      </c>
      <c r="I3" s="43">
        <v>6.4420000000000002</v>
      </c>
      <c r="J3" s="43">
        <v>8.2230000000000008</v>
      </c>
      <c r="K3" s="43">
        <v>10.02</v>
      </c>
      <c r="L3" s="43">
        <v>11.9</v>
      </c>
      <c r="M3" s="43">
        <v>14.25</v>
      </c>
    </row>
    <row r="4" spans="1:13" ht="30" customHeight="1" x14ac:dyDescent="0.25">
      <c r="A4" s="29" t="s">
        <v>4</v>
      </c>
      <c r="B4" s="43">
        <v>-1.8890000000000001E-2</v>
      </c>
      <c r="C4" s="43">
        <v>-1.508E-2</v>
      </c>
      <c r="D4" s="43">
        <v>-1.048E-2</v>
      </c>
      <c r="E4" s="43">
        <v>-1.918E-3</v>
      </c>
      <c r="F4" s="43">
        <v>5.6179999999999997E-3</v>
      </c>
      <c r="G4" s="43">
        <v>1.3050000000000001E-2</v>
      </c>
      <c r="H4" s="43">
        <v>2.0729999999999998E-2</v>
      </c>
      <c r="I4" s="43">
        <v>2.8500000000000001E-2</v>
      </c>
      <c r="J4" s="43">
        <v>3.6389999999999999E-2</v>
      </c>
      <c r="K4" s="43">
        <v>4.4350000000000001E-2</v>
      </c>
      <c r="L4" s="43">
        <v>5.2639999999999999E-2</v>
      </c>
      <c r="M4" s="43">
        <v>6.3060000000000005E-2</v>
      </c>
    </row>
    <row r="5" spans="1:13" ht="30" customHeight="1" x14ac:dyDescent="0.25">
      <c r="A5" s="29" t="s">
        <v>5</v>
      </c>
      <c r="B5" s="43">
        <v>-1.268E-2</v>
      </c>
      <c r="C5" s="43">
        <v>-9.1450000000000004E-3</v>
      </c>
      <c r="D5" s="43">
        <v>-4.7140000000000003E-3</v>
      </c>
      <c r="E5" s="43">
        <v>3.493E-3</v>
      </c>
      <c r="F5" s="43">
        <v>1.0749999999999999E-2</v>
      </c>
      <c r="G5" s="43">
        <v>1.7829999999999999E-2</v>
      </c>
      <c r="H5" s="43">
        <v>2.512E-2</v>
      </c>
      <c r="I5" s="43">
        <v>3.2559999999999999E-2</v>
      </c>
      <c r="J5" s="43">
        <v>4.0149999999999998E-2</v>
      </c>
      <c r="K5" s="43">
        <v>4.7789999999999999E-2</v>
      </c>
      <c r="L5" s="43">
        <v>5.5660000000000001E-2</v>
      </c>
      <c r="M5" s="43">
        <v>6.5869999999999998E-2</v>
      </c>
    </row>
    <row r="6" spans="1:13" ht="30" customHeight="1" x14ac:dyDescent="0.25">
      <c r="A6" s="29" t="s">
        <v>6</v>
      </c>
      <c r="B6" s="43">
        <v>-2.4840000000000001E-2</v>
      </c>
      <c r="C6" s="43">
        <v>-2.0910000000000002E-2</v>
      </c>
      <c r="D6" s="43">
        <v>-1.618E-2</v>
      </c>
      <c r="E6" s="43">
        <v>-7.3590000000000001E-3</v>
      </c>
      <c r="F6" s="43">
        <v>4.3800000000000002E-4</v>
      </c>
      <c r="G6" s="43">
        <v>8.1340000000000006E-3</v>
      </c>
      <c r="H6" s="43">
        <v>1.6080000000000001E-2</v>
      </c>
      <c r="I6" s="43">
        <v>2.4129999999999999E-2</v>
      </c>
      <c r="J6" s="43">
        <v>3.227E-2</v>
      </c>
      <c r="K6" s="43">
        <v>4.0500000000000001E-2</v>
      </c>
      <c r="L6" s="43">
        <v>4.9079999999999999E-2</v>
      </c>
      <c r="M6" s="43">
        <v>5.9769999999999997E-2</v>
      </c>
    </row>
    <row r="7" spans="1:13" ht="30" customHeight="1" x14ac:dyDescent="0.25">
      <c r="A7" s="29" t="s">
        <v>7</v>
      </c>
      <c r="B7" s="43">
        <v>1.924E-2</v>
      </c>
      <c r="C7" s="43">
        <v>1.549E-2</v>
      </c>
      <c r="D7" s="43">
        <v>1.1039999999999999E-2</v>
      </c>
      <c r="E7" s="43">
        <v>3.777E-3</v>
      </c>
      <c r="F7" s="43">
        <v>6.3839999999999999E-3</v>
      </c>
      <c r="G7" s="43">
        <v>1.3350000000000001E-2</v>
      </c>
      <c r="H7" s="43">
        <v>2.0889999999999999E-2</v>
      </c>
      <c r="I7" s="43">
        <v>2.86E-2</v>
      </c>
      <c r="J7" s="43">
        <v>3.6450000000000003E-2</v>
      </c>
      <c r="K7" s="43">
        <v>4.4389999999999999E-2</v>
      </c>
      <c r="L7" s="43">
        <v>5.2670000000000002E-2</v>
      </c>
      <c r="M7" s="43">
        <v>6.3079999999999997E-2</v>
      </c>
    </row>
    <row r="8" spans="1:13" ht="30" customHeight="1" x14ac:dyDescent="0.25">
      <c r="A8" s="37" t="s">
        <v>8</v>
      </c>
      <c r="B8" s="44">
        <f>B4-$B$4</f>
        <v>0</v>
      </c>
      <c r="C8" s="44">
        <f t="shared" ref="C8:M8" si="0">C4-$B$4</f>
        <v>3.8100000000000009E-3</v>
      </c>
      <c r="D8" s="44">
        <f t="shared" si="0"/>
        <v>8.4100000000000008E-3</v>
      </c>
      <c r="E8" s="44">
        <f t="shared" si="0"/>
        <v>1.6972000000000001E-2</v>
      </c>
      <c r="F8" s="44">
        <f t="shared" si="0"/>
        <v>2.4508000000000002E-2</v>
      </c>
      <c r="G8" s="44">
        <f t="shared" si="0"/>
        <v>3.1940000000000003E-2</v>
      </c>
      <c r="H8" s="44">
        <f t="shared" si="0"/>
        <v>3.9620000000000002E-2</v>
      </c>
      <c r="I8" s="44">
        <f t="shared" si="0"/>
        <v>4.7390000000000002E-2</v>
      </c>
      <c r="J8" s="44">
        <f t="shared" si="0"/>
        <v>5.5279999999999996E-2</v>
      </c>
      <c r="K8" s="44">
        <f t="shared" si="0"/>
        <v>6.3240000000000005E-2</v>
      </c>
      <c r="L8" s="44">
        <f t="shared" si="0"/>
        <v>7.1529999999999996E-2</v>
      </c>
      <c r="M8" s="44">
        <f t="shared" si="0"/>
        <v>8.1950000000000009E-2</v>
      </c>
    </row>
  </sheetData>
  <mergeCells count="1">
    <mergeCell ref="A1:M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809E-42FE-4728-A321-EF1D7ACE9D4B}">
  <dimension ref="A1:M9"/>
  <sheetViews>
    <sheetView showGridLines="0" zoomScaleNormal="100" workbookViewId="0">
      <selection activeCell="M9" sqref="M9"/>
    </sheetView>
  </sheetViews>
  <sheetFormatPr baseColWidth="10" defaultColWidth="11.42578125" defaultRowHeight="15" x14ac:dyDescent="0.25"/>
  <cols>
    <col min="1" max="1" width="14.28515625" customWidth="1"/>
    <col min="2" max="11" width="7.140625" bestFit="1" customWidth="1"/>
    <col min="12" max="13" width="7.42578125"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9" t="s">
        <v>2</v>
      </c>
      <c r="B2" s="36">
        <v>0.1</v>
      </c>
      <c r="C2" s="36">
        <v>0.5</v>
      </c>
      <c r="D2" s="36">
        <v>1</v>
      </c>
      <c r="E2" s="36">
        <v>2</v>
      </c>
      <c r="F2" s="36">
        <v>3</v>
      </c>
      <c r="G2" s="36">
        <v>4</v>
      </c>
      <c r="H2" s="36">
        <v>5</v>
      </c>
      <c r="I2" s="36">
        <v>6</v>
      </c>
      <c r="J2" s="36">
        <v>7</v>
      </c>
      <c r="K2" s="36">
        <v>8</v>
      </c>
      <c r="L2" s="36">
        <v>9</v>
      </c>
      <c r="M2" s="36">
        <v>10</v>
      </c>
    </row>
    <row r="3" spans="1:13" ht="30" customHeight="1" x14ac:dyDescent="0.25">
      <c r="A3" s="45" t="s">
        <v>9</v>
      </c>
      <c r="B3" s="49">
        <v>0.1236</v>
      </c>
      <c r="C3" s="49">
        <v>0.61799999999999999</v>
      </c>
      <c r="D3" s="49">
        <v>1.236</v>
      </c>
      <c r="E3" s="49">
        <v>2.472</v>
      </c>
      <c r="F3" s="49">
        <v>3.7080000000000002</v>
      </c>
      <c r="G3" s="49">
        <v>4.944</v>
      </c>
      <c r="H3" s="49">
        <v>6.18</v>
      </c>
      <c r="I3" s="49">
        <v>7.4160000000000004</v>
      </c>
      <c r="J3" s="49">
        <v>8.6519999999999992</v>
      </c>
      <c r="K3" s="49">
        <v>9.8879999999999999</v>
      </c>
      <c r="L3" s="49">
        <v>11.124000000000001</v>
      </c>
      <c r="M3" s="49">
        <v>12.36</v>
      </c>
    </row>
    <row r="4" spans="1:13" ht="30" customHeight="1" x14ac:dyDescent="0.25">
      <c r="A4" s="30" t="s">
        <v>3</v>
      </c>
      <c r="B4" s="28">
        <v>-4.2500000000000003E-2</v>
      </c>
      <c r="C4" s="28">
        <v>-0.21199999999999999</v>
      </c>
      <c r="D4" s="28">
        <v>-0.42499999999999999</v>
      </c>
      <c r="E4" s="28">
        <v>-0.85</v>
      </c>
      <c r="F4" s="28">
        <v>-1.27</v>
      </c>
      <c r="G4" s="28">
        <v>-1.7</v>
      </c>
      <c r="H4" s="28">
        <v>-2.12</v>
      </c>
      <c r="I4" s="28">
        <v>-2.5499999999999998</v>
      </c>
      <c r="J4" s="28">
        <v>-2.97</v>
      </c>
      <c r="K4" s="28">
        <v>-3.4</v>
      </c>
      <c r="L4" s="28">
        <v>-3.82</v>
      </c>
      <c r="M4" s="28">
        <v>-4.25</v>
      </c>
    </row>
    <row r="5" spans="1:13" ht="30" customHeight="1" x14ac:dyDescent="0.25">
      <c r="A5" s="30" t="s">
        <v>4</v>
      </c>
      <c r="B5" s="28">
        <v>-5.31E-4</v>
      </c>
      <c r="C5" s="28">
        <v>-2.66E-3</v>
      </c>
      <c r="D5" s="28">
        <v>-5.3099999999999996E-3</v>
      </c>
      <c r="E5" s="28">
        <v>-1.06E-2</v>
      </c>
      <c r="F5" s="28">
        <v>-1.5900000000000001E-2</v>
      </c>
      <c r="G5" s="28">
        <v>-2.12E-2</v>
      </c>
      <c r="H5" s="28">
        <v>-2.6599999999999999E-2</v>
      </c>
      <c r="I5" s="28">
        <v>-3.1899999999999998E-2</v>
      </c>
      <c r="J5" s="28">
        <v>-3.7199999999999997E-2</v>
      </c>
      <c r="K5" s="28">
        <v>-4.2500000000000003E-2</v>
      </c>
      <c r="L5" s="28">
        <v>-4.7800000000000002E-2</v>
      </c>
      <c r="M5" s="28">
        <v>-5.3100000000000001E-2</v>
      </c>
    </row>
    <row r="6" spans="1:13" ht="30" customHeight="1" x14ac:dyDescent="0.25">
      <c r="A6" s="30" t="s">
        <v>5</v>
      </c>
      <c r="B6" s="28">
        <v>-4.8500000000000003E-4</v>
      </c>
      <c r="C6" s="28">
        <v>-2.4199999999999998E-3</v>
      </c>
      <c r="D6" s="28">
        <v>-4.8500000000000001E-3</v>
      </c>
      <c r="E6" s="28">
        <v>-9.6900000000000007E-3</v>
      </c>
      <c r="F6" s="28">
        <v>-1.4500000000000001E-2</v>
      </c>
      <c r="G6" s="28">
        <v>-1.9400000000000001E-2</v>
      </c>
      <c r="H6" s="28">
        <v>-2.4199999999999999E-2</v>
      </c>
      <c r="I6" s="28">
        <v>-2.9100000000000001E-2</v>
      </c>
      <c r="J6" s="28">
        <v>-3.39E-2</v>
      </c>
      <c r="K6" s="28">
        <v>-3.8800000000000001E-2</v>
      </c>
      <c r="L6" s="28">
        <v>-4.36E-2</v>
      </c>
      <c r="M6" s="28">
        <v>-4.8500000000000001E-2</v>
      </c>
    </row>
    <row r="7" spans="1:13" ht="30" customHeight="1" x14ac:dyDescent="0.25">
      <c r="A7" s="30" t="s">
        <v>6</v>
      </c>
      <c r="B7" s="28">
        <v>-5.8200000000000005E-4</v>
      </c>
      <c r="C7" s="28">
        <v>-2.9099999999999998E-3</v>
      </c>
      <c r="D7" s="28">
        <v>-5.8199999999999997E-3</v>
      </c>
      <c r="E7" s="28">
        <v>-1.1599999999999999E-2</v>
      </c>
      <c r="F7" s="28">
        <v>-1.7500000000000002E-2</v>
      </c>
      <c r="G7" s="28">
        <v>-2.3300000000000001E-2</v>
      </c>
      <c r="H7" s="28">
        <v>-2.9100000000000001E-2</v>
      </c>
      <c r="I7" s="28">
        <v>-3.49E-2</v>
      </c>
      <c r="J7" s="28">
        <v>-4.0800000000000003E-2</v>
      </c>
      <c r="K7" s="28">
        <v>-4.6600000000000003E-2</v>
      </c>
      <c r="L7" s="28">
        <v>-5.2400000000000002E-2</v>
      </c>
      <c r="M7" s="28">
        <v>-5.8200000000000002E-2</v>
      </c>
    </row>
    <row r="8" spans="1:13" ht="30" customHeight="1" x14ac:dyDescent="0.25">
      <c r="A8" s="30" t="s">
        <v>7</v>
      </c>
      <c r="B8" s="28">
        <v>5.3200000000000003E-4</v>
      </c>
      <c r="C8" s="28">
        <v>2.66E-3</v>
      </c>
      <c r="D8" s="28">
        <v>5.3200000000000001E-3</v>
      </c>
      <c r="E8" s="28">
        <v>1.06E-2</v>
      </c>
      <c r="F8" s="28">
        <v>1.6E-2</v>
      </c>
      <c r="G8" s="28">
        <v>2.1299999999999999E-2</v>
      </c>
      <c r="H8" s="28">
        <v>2.6599999999999999E-2</v>
      </c>
      <c r="I8" s="28">
        <v>3.1899999999999998E-2</v>
      </c>
      <c r="J8" s="28">
        <v>3.7199999999999997E-2</v>
      </c>
      <c r="K8" s="28">
        <v>4.2500000000000003E-2</v>
      </c>
      <c r="L8" s="28">
        <v>4.7899999999999998E-2</v>
      </c>
      <c r="M8" s="28">
        <v>5.3199999999999997E-2</v>
      </c>
    </row>
    <row r="9" spans="1:13" ht="30" customHeight="1" x14ac:dyDescent="0.25">
      <c r="A9" s="31" t="s">
        <v>8</v>
      </c>
      <c r="B9" s="32">
        <f>$B$5-B5</f>
        <v>0</v>
      </c>
      <c r="C9" s="32">
        <f t="shared" ref="C9:M9" si="0">$B$5-C5</f>
        <v>2.1289999999999998E-3</v>
      </c>
      <c r="D9" s="32">
        <f t="shared" si="0"/>
        <v>4.7789999999999994E-3</v>
      </c>
      <c r="E9" s="32">
        <f t="shared" si="0"/>
        <v>1.0069E-2</v>
      </c>
      <c r="F9" s="32">
        <f t="shared" si="0"/>
        <v>1.5369000000000001E-2</v>
      </c>
      <c r="G9" s="32">
        <f t="shared" si="0"/>
        <v>2.0669E-2</v>
      </c>
      <c r="H9" s="32">
        <f t="shared" si="0"/>
        <v>2.6068999999999998E-2</v>
      </c>
      <c r="I9" s="32">
        <f t="shared" si="0"/>
        <v>3.1369000000000001E-2</v>
      </c>
      <c r="J9" s="32">
        <f t="shared" si="0"/>
        <v>3.6669E-2</v>
      </c>
      <c r="K9" s="32">
        <f t="shared" si="0"/>
        <v>4.1969000000000006E-2</v>
      </c>
      <c r="L9" s="32">
        <f t="shared" si="0"/>
        <v>4.7269000000000005E-2</v>
      </c>
      <c r="M9" s="32">
        <f t="shared" si="0"/>
        <v>5.2569000000000005E-2</v>
      </c>
    </row>
  </sheetData>
  <mergeCells count="1">
    <mergeCell ref="A1:M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EDED-F2A8-43CD-8DCB-B327D9C352E9}">
  <dimension ref="A1:M9"/>
  <sheetViews>
    <sheetView showGridLines="0" zoomScaleNormal="100" workbookViewId="0">
      <selection activeCell="M6" sqref="M6"/>
    </sheetView>
  </sheetViews>
  <sheetFormatPr baseColWidth="10" defaultColWidth="11.42578125" defaultRowHeight="15" x14ac:dyDescent="0.25"/>
  <cols>
    <col min="1" max="1" width="14.28515625" customWidth="1"/>
    <col min="2" max="13" width="8.42578125"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9" t="s">
        <v>2</v>
      </c>
      <c r="B2" s="36">
        <v>0.1</v>
      </c>
      <c r="C2" s="36">
        <v>0.5</v>
      </c>
      <c r="D2" s="36">
        <v>1</v>
      </c>
      <c r="E2" s="36">
        <v>2</v>
      </c>
      <c r="F2" s="36">
        <v>3</v>
      </c>
      <c r="G2" s="36">
        <v>4</v>
      </c>
      <c r="H2" s="36">
        <v>5</v>
      </c>
      <c r="I2" s="36">
        <v>6</v>
      </c>
      <c r="J2" s="36">
        <v>7</v>
      </c>
      <c r="K2" s="36">
        <v>8</v>
      </c>
      <c r="L2" s="36">
        <v>9</v>
      </c>
      <c r="M2" s="36">
        <v>10</v>
      </c>
    </row>
    <row r="3" spans="1:13" ht="30" customHeight="1" x14ac:dyDescent="0.25">
      <c r="A3" s="45" t="s">
        <v>9</v>
      </c>
      <c r="B3" s="49">
        <v>0.1236</v>
      </c>
      <c r="C3" s="49">
        <v>0.61799999999999999</v>
      </c>
      <c r="D3" s="49">
        <v>1.236</v>
      </c>
      <c r="E3" s="49">
        <v>2.472</v>
      </c>
      <c r="F3" s="49">
        <v>3.7080000000000002</v>
      </c>
      <c r="G3" s="49">
        <v>4.944</v>
      </c>
      <c r="H3" s="49">
        <v>6.18</v>
      </c>
      <c r="I3" s="49">
        <v>7.4160000000000004</v>
      </c>
      <c r="J3" s="49">
        <v>8.6519999999999992</v>
      </c>
      <c r="K3" s="49">
        <v>9.8879999999999999</v>
      </c>
      <c r="L3" s="49">
        <v>11.124000000000001</v>
      </c>
      <c r="M3" s="49">
        <v>12.36</v>
      </c>
    </row>
    <row r="4" spans="1:13" ht="30" customHeight="1" x14ac:dyDescent="0.25">
      <c r="A4" s="30" t="s">
        <v>3</v>
      </c>
      <c r="B4" s="50">
        <v>9.4900000000000003E-5</v>
      </c>
      <c r="C4" s="50">
        <v>4.7399999999999997E-4</v>
      </c>
      <c r="D4" s="50">
        <v>9.4900000000000002E-3</v>
      </c>
      <c r="E4" s="50">
        <v>1.9E-3</v>
      </c>
      <c r="F4" s="50">
        <v>2.8500000000000001E-3</v>
      </c>
      <c r="G4" s="50">
        <v>3.79E-3</v>
      </c>
      <c r="H4" s="50">
        <v>4.7400000000000003E-3</v>
      </c>
      <c r="I4" s="50">
        <v>5.6899999999999997E-3</v>
      </c>
      <c r="J4" s="50">
        <v>6.6400000000000001E-3</v>
      </c>
      <c r="K4" s="50">
        <v>7.5900000000000004E-3</v>
      </c>
      <c r="L4" s="50">
        <v>8.5400000000000007E-3</v>
      </c>
      <c r="M4" s="50">
        <v>9.4900000000000002E-3</v>
      </c>
    </row>
    <row r="5" spans="1:13" ht="30" customHeight="1" x14ac:dyDescent="0.25">
      <c r="A5" s="30" t="s">
        <v>4</v>
      </c>
      <c r="B5" s="50">
        <v>5.93E-6</v>
      </c>
      <c r="C5" s="50">
        <v>2.9600000000000001E-5</v>
      </c>
      <c r="D5" s="50">
        <v>5.9299999999999998E-5</v>
      </c>
      <c r="E5" s="50">
        <v>1.1900000000000001E-4</v>
      </c>
      <c r="F5" s="50">
        <v>1.7799999999999999E-4</v>
      </c>
      <c r="G5" s="50">
        <v>2.3699999999999999E-4</v>
      </c>
      <c r="H5" s="50">
        <v>2.9599999999999998E-4</v>
      </c>
      <c r="I5" s="50">
        <v>3.5599999999999998E-4</v>
      </c>
      <c r="J5" s="50">
        <v>4.15E-4</v>
      </c>
      <c r="K5" s="50">
        <v>4.7399999999999997E-4</v>
      </c>
      <c r="L5" s="50">
        <v>5.3399999999999997E-4</v>
      </c>
      <c r="M5" s="50">
        <v>5.9299999999999999E-4</v>
      </c>
    </row>
    <row r="6" spans="1:13" ht="30" customHeight="1" x14ac:dyDescent="0.25">
      <c r="A6" s="30" t="s">
        <v>5</v>
      </c>
      <c r="B6" s="50">
        <v>5.9900000000000002E-6</v>
      </c>
      <c r="C6" s="50">
        <v>2.9899999999999998E-5</v>
      </c>
      <c r="D6" s="50">
        <v>5.9899999999999999E-5</v>
      </c>
      <c r="E6" s="50">
        <v>1.2E-4</v>
      </c>
      <c r="F6" s="50">
        <v>1.8000000000000001E-4</v>
      </c>
      <c r="G6" s="50">
        <v>2.4000000000000001E-4</v>
      </c>
      <c r="H6" s="50">
        <v>2.99E-4</v>
      </c>
      <c r="I6" s="50">
        <v>3.59E-4</v>
      </c>
      <c r="J6" s="50">
        <v>4.1899999999999999E-4</v>
      </c>
      <c r="K6" s="50">
        <v>4.7899999999999999E-4</v>
      </c>
      <c r="L6" s="50">
        <v>5.3899999999999998E-4</v>
      </c>
      <c r="M6" s="50">
        <v>5.9900000000000003E-4</v>
      </c>
    </row>
    <row r="7" spans="1:13" ht="30" customHeight="1" x14ac:dyDescent="0.25">
      <c r="A7" s="30" t="s">
        <v>6</v>
      </c>
      <c r="B7" s="50">
        <v>5.8100000000000003E-6</v>
      </c>
      <c r="C7" s="50">
        <v>2.9E-5</v>
      </c>
      <c r="D7" s="50">
        <v>5.8100000000000003E-5</v>
      </c>
      <c r="E7" s="50">
        <v>1.16E-4</v>
      </c>
      <c r="F7" s="50">
        <v>1.74E-4</v>
      </c>
      <c r="G7" s="50">
        <v>2.32E-4</v>
      </c>
      <c r="H7" s="50">
        <v>2.9E-4</v>
      </c>
      <c r="I7" s="50">
        <v>3.48E-4</v>
      </c>
      <c r="J7" s="50">
        <v>4.06E-4</v>
      </c>
      <c r="K7" s="50">
        <v>4.64E-4</v>
      </c>
      <c r="L7" s="50">
        <v>5.2300000000000003E-4</v>
      </c>
      <c r="M7" s="50">
        <v>5.8100000000000003E-4</v>
      </c>
    </row>
    <row r="8" spans="1:13" ht="30" customHeight="1" x14ac:dyDescent="0.25">
      <c r="A8" s="30" t="s">
        <v>7</v>
      </c>
      <c r="B8" s="50">
        <v>5.93E-6</v>
      </c>
      <c r="C8" s="50">
        <v>2.9600000000000001E-5</v>
      </c>
      <c r="D8" s="50">
        <v>5.9299999999999999E-4</v>
      </c>
      <c r="E8" s="50">
        <v>1.1900000000000001E-4</v>
      </c>
      <c r="F8" s="50">
        <v>1.7799999999999999E-4</v>
      </c>
      <c r="G8" s="50">
        <v>2.3699999999999999E-4</v>
      </c>
      <c r="H8" s="50">
        <v>2.9599999999999998E-4</v>
      </c>
      <c r="I8" s="50">
        <v>3.5599999999999998E-4</v>
      </c>
      <c r="J8" s="50">
        <v>4.15E-4</v>
      </c>
      <c r="K8" s="50">
        <v>4.7399999999999997E-4</v>
      </c>
      <c r="L8" s="50">
        <v>5.3399999999999997E-4</v>
      </c>
      <c r="M8" s="50">
        <v>5.9299999999999999E-4</v>
      </c>
    </row>
    <row r="9" spans="1:13" ht="30" customHeight="1" x14ac:dyDescent="0.25">
      <c r="A9" s="31" t="s">
        <v>8</v>
      </c>
      <c r="B9" s="51">
        <f>B5-$B$5</f>
        <v>0</v>
      </c>
      <c r="C9" s="51">
        <f>C5-$B$5</f>
        <v>2.3670000000000002E-5</v>
      </c>
      <c r="D9" s="51">
        <f>D5-$B$5</f>
        <v>5.3369999999999999E-5</v>
      </c>
      <c r="E9" s="51">
        <f t="shared" ref="E9:M9" si="0">E5-$B$5</f>
        <v>1.1307E-4</v>
      </c>
      <c r="F9" s="51">
        <f t="shared" si="0"/>
        <v>1.7207E-4</v>
      </c>
      <c r="G9" s="51">
        <f t="shared" si="0"/>
        <v>2.3107E-4</v>
      </c>
      <c r="H9" s="51">
        <f t="shared" si="0"/>
        <v>2.9006999999999997E-4</v>
      </c>
      <c r="I9" s="51">
        <f t="shared" si="0"/>
        <v>3.5006999999999996E-4</v>
      </c>
      <c r="J9" s="51">
        <f t="shared" si="0"/>
        <v>4.0906999999999998E-4</v>
      </c>
      <c r="K9" s="51">
        <f t="shared" si="0"/>
        <v>4.6806999999999996E-4</v>
      </c>
      <c r="L9" s="51">
        <f t="shared" si="0"/>
        <v>5.2806999999999995E-4</v>
      </c>
      <c r="M9" s="51">
        <f t="shared" si="0"/>
        <v>5.8706999999999997E-4</v>
      </c>
    </row>
  </sheetData>
  <mergeCells count="1">
    <mergeCell ref="A1:M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CDD91-654A-4BCB-AB6E-51257176A0E1}">
  <dimension ref="A1:M8"/>
  <sheetViews>
    <sheetView showGridLines="0" zoomScaleNormal="100" workbookViewId="0">
      <selection activeCell="M8" sqref="A2:M8"/>
    </sheetView>
  </sheetViews>
  <sheetFormatPr baseColWidth="10" defaultColWidth="11.42578125" defaultRowHeight="15" x14ac:dyDescent="0.25"/>
  <cols>
    <col min="1" max="1" width="14.5703125" customWidth="1"/>
    <col min="2" max="4" width="8" bestFit="1" customWidth="1"/>
    <col min="5" max="6" width="9" bestFit="1" customWidth="1"/>
    <col min="7" max="8" width="9.7109375" customWidth="1"/>
    <col min="9" max="13" width="8.7109375"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5" t="s">
        <v>2</v>
      </c>
      <c r="B2" s="36">
        <v>0.1</v>
      </c>
      <c r="C2" s="36">
        <v>0.5</v>
      </c>
      <c r="D2" s="36">
        <v>1</v>
      </c>
      <c r="E2" s="36">
        <v>2</v>
      </c>
      <c r="F2" s="36">
        <v>3</v>
      </c>
      <c r="G2" s="36">
        <v>4</v>
      </c>
      <c r="H2" s="36">
        <v>5</v>
      </c>
      <c r="I2" s="36">
        <v>6</v>
      </c>
      <c r="J2" s="36">
        <v>7</v>
      </c>
      <c r="K2" s="36">
        <v>8</v>
      </c>
      <c r="L2" s="36">
        <v>9</v>
      </c>
      <c r="M2" s="36">
        <v>10</v>
      </c>
    </row>
    <row r="3" spans="1:13" ht="30" customHeight="1" x14ac:dyDescent="0.25">
      <c r="A3" s="29" t="s">
        <v>3</v>
      </c>
      <c r="B3" s="43">
        <v>3.5369999999999999</v>
      </c>
      <c r="C3" s="43">
        <v>3.1320000000000001</v>
      </c>
      <c r="D3" s="43">
        <v>2.6160000000000001</v>
      </c>
      <c r="E3" s="43">
        <v>1.556</v>
      </c>
      <c r="F3" s="43">
        <v>0.47299999999999998</v>
      </c>
      <c r="G3" s="43">
        <v>-0.64159999999999995</v>
      </c>
      <c r="H3" s="43">
        <v>-1.794</v>
      </c>
      <c r="I3" s="43">
        <v>-2.9550000000000001</v>
      </c>
      <c r="J3" s="43">
        <v>-4.1260000000000003</v>
      </c>
      <c r="K3" s="43">
        <v>-5.2960000000000003</v>
      </c>
      <c r="L3" s="43">
        <v>-6.4779999999999998</v>
      </c>
      <c r="M3" s="43">
        <v>-7.6749999999999998</v>
      </c>
    </row>
    <row r="4" spans="1:13" ht="30" customHeight="1" x14ac:dyDescent="0.25">
      <c r="A4" s="29" t="s">
        <v>4</v>
      </c>
      <c r="B4" s="43">
        <v>1.7860000000000001E-2</v>
      </c>
      <c r="C4" s="43">
        <v>1.5820000000000001E-2</v>
      </c>
      <c r="D4" s="43">
        <v>1.321E-2</v>
      </c>
      <c r="E4" s="43">
        <v>7.8580000000000004E-3</v>
      </c>
      <c r="F4" s="43">
        <v>2.3890000000000001E-3</v>
      </c>
      <c r="G4" s="43">
        <v>-3.241E-3</v>
      </c>
      <c r="H4" s="43">
        <v>-9.0589999999999993E-3</v>
      </c>
      <c r="I4" s="43">
        <v>-1.4919999999999999E-2</v>
      </c>
      <c r="J4" s="43">
        <v>-2.0840000000000001E-2</v>
      </c>
      <c r="K4" s="43">
        <v>-2.6749999999999999E-2</v>
      </c>
      <c r="L4" s="43">
        <v>-3.2719999999999999E-2</v>
      </c>
      <c r="M4" s="43">
        <v>-3.8769999999999999E-2</v>
      </c>
    </row>
    <row r="5" spans="1:13" ht="30" customHeight="1" x14ac:dyDescent="0.25">
      <c r="A5" s="29" t="s">
        <v>5</v>
      </c>
      <c r="B5" s="43">
        <v>1.8620000000000001E-2</v>
      </c>
      <c r="C5" s="43">
        <v>1.6580000000000001E-2</v>
      </c>
      <c r="D5" s="43">
        <v>1.4E-2</v>
      </c>
      <c r="E5" s="43">
        <v>8.6840000000000007E-3</v>
      </c>
      <c r="F5" s="43">
        <v>3.2529999999999998E-3</v>
      </c>
      <c r="G5" s="43">
        <v>-2.3419999999999999E-3</v>
      </c>
      <c r="H5" s="43">
        <v>-8.1250000000000003E-3</v>
      </c>
      <c r="I5" s="43">
        <v>-1.3950000000000001E-2</v>
      </c>
      <c r="J5" s="43">
        <v>-1.983E-2</v>
      </c>
      <c r="K5" s="43">
        <v>-2.571E-2</v>
      </c>
      <c r="L5" s="43">
        <v>-3.1640000000000001E-2</v>
      </c>
      <c r="M5" s="43">
        <v>-3.7650000000000003E-2</v>
      </c>
    </row>
    <row r="6" spans="1:13" ht="30" customHeight="1" x14ac:dyDescent="0.25">
      <c r="A6" s="29" t="s">
        <v>6</v>
      </c>
      <c r="B6" s="43">
        <v>1.729E-2</v>
      </c>
      <c r="C6" s="43">
        <v>1.521E-2</v>
      </c>
      <c r="D6" s="43">
        <v>1.2579999999999999E-2</v>
      </c>
      <c r="E6" s="43">
        <v>7.1640000000000002E-3</v>
      </c>
      <c r="F6" s="43">
        <v>1.634E-3</v>
      </c>
      <c r="G6" s="43">
        <v>-4.0590000000000001E-3</v>
      </c>
      <c r="H6" s="43">
        <v>-9.9380000000000007E-3</v>
      </c>
      <c r="I6" s="43">
        <v>-1.5859999999999999E-2</v>
      </c>
      <c r="J6" s="43">
        <v>-2.1829999999999999E-2</v>
      </c>
      <c r="K6" s="43">
        <v>-2.7799999999999998E-2</v>
      </c>
      <c r="L6" s="43">
        <v>-3.3829999999999999E-2</v>
      </c>
      <c r="M6" s="43">
        <v>-3.9969999999999999E-2</v>
      </c>
    </row>
    <row r="7" spans="1:13" ht="30" customHeight="1" x14ac:dyDescent="0.25">
      <c r="A7" s="29" t="s">
        <v>7</v>
      </c>
      <c r="B7" s="43">
        <v>1.787E-2</v>
      </c>
      <c r="C7" s="43">
        <v>1.5820000000000001E-2</v>
      </c>
      <c r="D7" s="43">
        <v>1.321E-2</v>
      </c>
      <c r="E7" s="43">
        <v>7.8659999999999997E-3</v>
      </c>
      <c r="F7" s="43">
        <v>2.4199999999999998E-3</v>
      </c>
      <c r="G7" s="43">
        <v>3.2690000000000002E-3</v>
      </c>
      <c r="H7" s="43">
        <v>9.0709999999999992E-3</v>
      </c>
      <c r="I7" s="43">
        <v>1.4930000000000001E-2</v>
      </c>
      <c r="J7" s="43">
        <v>2.085E-2</v>
      </c>
      <c r="K7" s="43">
        <v>2.6759999999999999E-2</v>
      </c>
      <c r="L7" s="43">
        <v>3.2719999999999999E-2</v>
      </c>
      <c r="M7" s="43">
        <v>3.8769999999999999E-2</v>
      </c>
    </row>
    <row r="8" spans="1:13" ht="30" customHeight="1" x14ac:dyDescent="0.25">
      <c r="A8" s="37" t="s">
        <v>8</v>
      </c>
      <c r="B8" s="44">
        <f>$B$4-B4</f>
        <v>0</v>
      </c>
      <c r="C8" s="44">
        <f t="shared" ref="C8:M8" si="0">$B$4-C4</f>
        <v>2.0400000000000001E-3</v>
      </c>
      <c r="D8" s="44">
        <f t="shared" si="0"/>
        <v>4.6500000000000014E-3</v>
      </c>
      <c r="E8" s="44">
        <f t="shared" si="0"/>
        <v>1.0002E-2</v>
      </c>
      <c r="F8" s="44">
        <f t="shared" si="0"/>
        <v>1.5471E-2</v>
      </c>
      <c r="G8" s="44">
        <f t="shared" si="0"/>
        <v>2.1101000000000002E-2</v>
      </c>
      <c r="H8" s="44">
        <f t="shared" si="0"/>
        <v>2.6918999999999998E-2</v>
      </c>
      <c r="I8" s="44">
        <f t="shared" si="0"/>
        <v>3.2780000000000004E-2</v>
      </c>
      <c r="J8" s="44">
        <f t="shared" si="0"/>
        <v>3.8699999999999998E-2</v>
      </c>
      <c r="K8" s="44">
        <f t="shared" si="0"/>
        <v>4.4609999999999997E-2</v>
      </c>
      <c r="L8" s="44">
        <f t="shared" si="0"/>
        <v>5.058E-2</v>
      </c>
      <c r="M8" s="44">
        <f t="shared" si="0"/>
        <v>5.663E-2</v>
      </c>
    </row>
  </sheetData>
  <mergeCells count="1">
    <mergeCell ref="A1:M1"/>
  </mergeCells>
  <pageMargins left="0.7" right="0.7" top="0.75" bottom="0.75" header="0.3" footer="0.3"/>
  <pageSetup orientation="portrait"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8F87-73D0-45DD-91A7-594335CF4AB8}">
  <dimension ref="A1:M8"/>
  <sheetViews>
    <sheetView showGridLines="0" zoomScaleNormal="100" workbookViewId="0">
      <selection activeCell="M8" sqref="A2:M8"/>
    </sheetView>
  </sheetViews>
  <sheetFormatPr baseColWidth="10" defaultColWidth="11.42578125" defaultRowHeight="15" x14ac:dyDescent="0.25"/>
  <cols>
    <col min="1" max="1" width="15.5703125" customWidth="1"/>
    <col min="2" max="13" width="10" bestFit="1"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5" t="s">
        <v>2</v>
      </c>
      <c r="B2" s="36">
        <v>0.1</v>
      </c>
      <c r="C2" s="36">
        <v>0.5</v>
      </c>
      <c r="D2" s="36">
        <v>1</v>
      </c>
      <c r="E2" s="36">
        <v>2</v>
      </c>
      <c r="F2" s="36">
        <v>3</v>
      </c>
      <c r="G2" s="36">
        <v>4</v>
      </c>
      <c r="H2" s="36">
        <v>5</v>
      </c>
      <c r="I2" s="36">
        <v>6</v>
      </c>
      <c r="J2" s="36">
        <v>7</v>
      </c>
      <c r="K2" s="36">
        <v>8</v>
      </c>
      <c r="L2" s="36">
        <v>9</v>
      </c>
      <c r="M2" s="36">
        <v>10</v>
      </c>
    </row>
    <row r="3" spans="1:13" ht="30" customHeight="1" x14ac:dyDescent="0.25">
      <c r="A3" s="29" t="s">
        <v>3</v>
      </c>
      <c r="B3" s="43">
        <v>1.72E-3</v>
      </c>
      <c r="C3" s="43">
        <v>8.6199999999999992E-3</v>
      </c>
      <c r="D3" s="43">
        <v>1.72E-2</v>
      </c>
      <c r="E3" s="43">
        <v>3.4500000000000003E-2</v>
      </c>
      <c r="F3" s="43">
        <v>5.1700000000000003E-2</v>
      </c>
      <c r="G3" s="43">
        <v>6.8900000000000003E-2</v>
      </c>
      <c r="H3" s="43">
        <v>8.6199999999999999E-2</v>
      </c>
      <c r="I3" s="43">
        <v>0.10299999999999999</v>
      </c>
      <c r="J3" s="43">
        <v>0.121</v>
      </c>
      <c r="K3" s="43">
        <v>0.13800000000000001</v>
      </c>
      <c r="L3" s="43">
        <v>0.155</v>
      </c>
      <c r="M3" s="43">
        <v>0.17199999999999999</v>
      </c>
    </row>
    <row r="4" spans="1:13" ht="30" customHeight="1" x14ac:dyDescent="0.25">
      <c r="A4" s="29" t="s">
        <v>4</v>
      </c>
      <c r="B4" s="43">
        <v>2.7800000000000001E-5</v>
      </c>
      <c r="C4" s="43">
        <v>1.3899999999999999E-4</v>
      </c>
      <c r="D4" s="43">
        <v>2.7799999999999998E-4</v>
      </c>
      <c r="E4" s="43">
        <v>5.5599999999999996E-4</v>
      </c>
      <c r="F4" s="43">
        <v>8.34E-4</v>
      </c>
      <c r="G4" s="43">
        <v>1.1100000000000001E-3</v>
      </c>
      <c r="H4" s="43">
        <v>1.39E-3</v>
      </c>
      <c r="I4" s="43">
        <v>1.67E-3</v>
      </c>
      <c r="J4" s="43">
        <v>1.9499999999999999E-3</v>
      </c>
      <c r="K4" s="43">
        <v>2.0899999999999998E-3</v>
      </c>
      <c r="L4" s="43">
        <v>2.5000000000000001E-3</v>
      </c>
      <c r="M4" s="43">
        <v>2.7799999999999999E-3</v>
      </c>
    </row>
    <row r="5" spans="1:13" ht="30" customHeight="1" x14ac:dyDescent="0.25">
      <c r="A5" s="29" t="s">
        <v>5</v>
      </c>
      <c r="B5" s="43">
        <v>3.57E-5</v>
      </c>
      <c r="C5" s="43">
        <v>1.7799999999999999E-4</v>
      </c>
      <c r="D5" s="43">
        <v>3.57E-4</v>
      </c>
      <c r="E5" s="43">
        <v>7.1400000000000001E-4</v>
      </c>
      <c r="F5" s="43">
        <v>1.07E-3</v>
      </c>
      <c r="G5" s="43">
        <v>1.4300000000000001E-3</v>
      </c>
      <c r="H5" s="43">
        <v>1.7799999999999999E-3</v>
      </c>
      <c r="I5" s="43">
        <v>2.14E-3</v>
      </c>
      <c r="J5" s="43">
        <v>2.5000000000000001E-3</v>
      </c>
      <c r="K5" s="43">
        <v>2.8500000000000001E-3</v>
      </c>
      <c r="L5" s="43">
        <v>3.2100000000000002E-3</v>
      </c>
      <c r="M5" s="43">
        <v>3.5699999999999998E-3</v>
      </c>
    </row>
    <row r="6" spans="1:13" ht="30" customHeight="1" x14ac:dyDescent="0.25">
      <c r="A6" s="29" t="s">
        <v>6</v>
      </c>
      <c r="B6" s="43">
        <v>1.11E-5</v>
      </c>
      <c r="C6" s="43">
        <v>5.5399999999999998E-5</v>
      </c>
      <c r="D6" s="43">
        <v>1.11E-4</v>
      </c>
      <c r="E6" s="43">
        <v>2.22E-4</v>
      </c>
      <c r="F6" s="43">
        <v>3.3199999999999999E-4</v>
      </c>
      <c r="G6" s="43">
        <v>4.4299999999999998E-4</v>
      </c>
      <c r="H6" s="43">
        <v>5.5400000000000002E-4</v>
      </c>
      <c r="I6" s="43">
        <v>6.6500000000000001E-4</v>
      </c>
      <c r="J6" s="43">
        <v>7.7499999999999997E-4</v>
      </c>
      <c r="K6" s="43">
        <v>0</v>
      </c>
      <c r="L6" s="43">
        <v>9.9700000000000006E-4</v>
      </c>
      <c r="M6" s="43">
        <v>1.1100000000000001E-3</v>
      </c>
    </row>
    <row r="7" spans="1:13" ht="30" customHeight="1" x14ac:dyDescent="0.25">
      <c r="A7" s="29" t="s">
        <v>7</v>
      </c>
      <c r="B7" s="43">
        <v>2.8799999999999999E-5</v>
      </c>
      <c r="C7" s="43">
        <v>1.44E-4</v>
      </c>
      <c r="D7" s="43">
        <v>2.8800000000000001E-4</v>
      </c>
      <c r="E7" s="43">
        <v>5.7499999999999999E-4</v>
      </c>
      <c r="F7" s="43">
        <v>8.6300000000000005E-4</v>
      </c>
      <c r="G7" s="43">
        <v>1.15E-3</v>
      </c>
      <c r="H7" s="43">
        <v>1.4400000000000001E-3</v>
      </c>
      <c r="I7" s="43">
        <v>1.73E-3</v>
      </c>
      <c r="J7" s="43">
        <v>2.0100000000000001E-3</v>
      </c>
      <c r="K7" s="43">
        <v>2.2300000000000002E-3</v>
      </c>
      <c r="L7" s="43">
        <v>2.5899999999999999E-3</v>
      </c>
      <c r="M7" s="43">
        <v>2.8800000000000002E-3</v>
      </c>
    </row>
    <row r="8" spans="1:13" ht="30" customHeight="1" x14ac:dyDescent="0.25">
      <c r="A8" s="37" t="s">
        <v>8</v>
      </c>
      <c r="B8" s="44">
        <f>B4-$B$4</f>
        <v>0</v>
      </c>
      <c r="C8" s="44">
        <f t="shared" ref="C8:M8" si="0">C4-$B$4</f>
        <v>1.1119999999999999E-4</v>
      </c>
      <c r="D8" s="44">
        <f t="shared" si="0"/>
        <v>2.5019999999999996E-4</v>
      </c>
      <c r="E8" s="44">
        <f t="shared" si="0"/>
        <v>5.2819999999999994E-4</v>
      </c>
      <c r="F8" s="44">
        <f t="shared" si="0"/>
        <v>8.0619999999999997E-4</v>
      </c>
      <c r="G8" s="44">
        <f t="shared" si="0"/>
        <v>1.0822000000000002E-3</v>
      </c>
      <c r="H8" s="44">
        <f t="shared" si="0"/>
        <v>1.3622E-3</v>
      </c>
      <c r="I8" s="44">
        <f t="shared" si="0"/>
        <v>1.6422000000000001E-3</v>
      </c>
      <c r="J8" s="44">
        <f t="shared" si="0"/>
        <v>1.9222E-3</v>
      </c>
      <c r="K8" s="44">
        <f t="shared" si="0"/>
        <v>2.0621999999999997E-3</v>
      </c>
      <c r="L8" s="44">
        <f t="shared" si="0"/>
        <v>2.4721999999999999E-3</v>
      </c>
      <c r="M8" s="44">
        <f t="shared" si="0"/>
        <v>2.7521999999999998E-3</v>
      </c>
    </row>
  </sheetData>
  <mergeCells count="1">
    <mergeCell ref="A1:M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2D08-B40B-47DA-ADC4-CC096F6ED35C}">
  <dimension ref="A1:M74"/>
  <sheetViews>
    <sheetView showGridLines="0" zoomScaleNormal="100" workbookViewId="0">
      <selection activeCell="N11" sqref="N11"/>
    </sheetView>
  </sheetViews>
  <sheetFormatPr baseColWidth="10" defaultColWidth="11.42578125" defaultRowHeight="15" x14ac:dyDescent="0.25"/>
  <cols>
    <col min="1" max="1" width="14.7109375" customWidth="1"/>
    <col min="2" max="2" width="9.7109375" hidden="1" customWidth="1"/>
    <col min="3" max="13" width="5.7109375" customWidth="1"/>
  </cols>
  <sheetData>
    <row r="1" spans="1:13" ht="15.75" x14ac:dyDescent="0.25">
      <c r="A1" s="180" t="s">
        <v>1</v>
      </c>
      <c r="B1" s="180"/>
      <c r="C1" s="180"/>
      <c r="D1" s="180"/>
      <c r="E1" s="180"/>
      <c r="F1" s="180"/>
      <c r="G1" s="180"/>
      <c r="H1" s="180"/>
      <c r="I1" s="180"/>
      <c r="J1" s="180"/>
      <c r="K1" s="180"/>
      <c r="L1" s="180"/>
      <c r="M1" s="180"/>
    </row>
    <row r="2" spans="1:13" ht="30" customHeight="1" x14ac:dyDescent="0.25">
      <c r="A2" s="35" t="s">
        <v>2</v>
      </c>
      <c r="B2" s="36">
        <v>0.1</v>
      </c>
      <c r="C2" s="36">
        <v>0.5</v>
      </c>
      <c r="D2" s="36">
        <v>1</v>
      </c>
      <c r="E2" s="36">
        <v>2</v>
      </c>
      <c r="F2" s="36">
        <v>3</v>
      </c>
      <c r="G2" s="36">
        <v>4</v>
      </c>
      <c r="H2" s="36">
        <v>5</v>
      </c>
      <c r="I2" s="36">
        <v>6</v>
      </c>
      <c r="J2" s="36">
        <v>7</v>
      </c>
      <c r="K2" s="36">
        <v>8</v>
      </c>
      <c r="L2" s="36">
        <v>9</v>
      </c>
      <c r="M2" s="36">
        <v>10</v>
      </c>
    </row>
    <row r="3" spans="1:13" ht="30" customHeight="1" x14ac:dyDescent="0.25">
      <c r="A3" s="29" t="s">
        <v>3</v>
      </c>
      <c r="B3" s="43">
        <v>-4.4119999999999999E-2</v>
      </c>
      <c r="C3" s="43">
        <v>-0.22059999999999999</v>
      </c>
      <c r="D3" s="43">
        <v>-0.44119999999999998</v>
      </c>
      <c r="E3" s="43">
        <v>-0.88239999999999996</v>
      </c>
      <c r="F3" s="43">
        <v>-1.3240000000000001</v>
      </c>
      <c r="G3" s="43">
        <v>-1.7649999999999999</v>
      </c>
      <c r="H3" s="43">
        <v>-2.206</v>
      </c>
      <c r="I3" s="43">
        <v>-2.6469999999999998</v>
      </c>
      <c r="J3" s="43">
        <v>-3.0880000000000001</v>
      </c>
      <c r="K3" s="43">
        <v>-3.5289999999999999</v>
      </c>
      <c r="L3" s="43">
        <v>-3.9710000000000001</v>
      </c>
      <c r="M3" s="43">
        <v>-4.4119999999999999</v>
      </c>
    </row>
    <row r="4" spans="1:13" ht="30" customHeight="1" x14ac:dyDescent="0.25">
      <c r="A4" s="29" t="s">
        <v>4</v>
      </c>
      <c r="B4" s="43">
        <v>-2.7569999999999999E-3</v>
      </c>
      <c r="C4" s="43">
        <v>-1.379E-2</v>
      </c>
      <c r="D4" s="43">
        <v>-2.7570000000000001E-2</v>
      </c>
      <c r="E4" s="43">
        <v>-5.5149999999999998E-2</v>
      </c>
      <c r="F4" s="43">
        <v>-8.2720000000000002E-2</v>
      </c>
      <c r="G4" s="43">
        <v>-0.1103</v>
      </c>
      <c r="H4" s="43">
        <v>-0.13789999999999999</v>
      </c>
      <c r="I4" s="43">
        <v>-0.16539999999999999</v>
      </c>
      <c r="J4" s="43">
        <v>-0.193</v>
      </c>
      <c r="K4" s="43">
        <v>-0.22059999999999999</v>
      </c>
      <c r="L4" s="43">
        <v>-0.2482</v>
      </c>
      <c r="M4" s="43">
        <v>-0.2757</v>
      </c>
    </row>
    <row r="5" spans="1:13" ht="30" customHeight="1" x14ac:dyDescent="0.25">
      <c r="A5" s="29" t="s">
        <v>5</v>
      </c>
      <c r="B5" s="43">
        <v>-2.738E-3</v>
      </c>
      <c r="C5" s="43">
        <v>-1.3690000000000001E-2</v>
      </c>
      <c r="D5" s="43">
        <v>-2.7380000000000002E-2</v>
      </c>
      <c r="E5" s="43">
        <v>-5.4760000000000003E-2</v>
      </c>
      <c r="F5" s="43">
        <v>-8.2140000000000005E-2</v>
      </c>
      <c r="G5" s="43">
        <v>-0.1095</v>
      </c>
      <c r="H5" s="43">
        <v>-0.13689999999999999</v>
      </c>
      <c r="I5" s="43">
        <v>-0.1643</v>
      </c>
      <c r="J5" s="43">
        <v>-0.19170000000000001</v>
      </c>
      <c r="K5" s="43">
        <v>-0.219</v>
      </c>
      <c r="L5" s="43">
        <v>-0.24640000000000001</v>
      </c>
      <c r="M5" s="43">
        <v>-0.27379999999999999</v>
      </c>
    </row>
    <row r="6" spans="1:13" ht="30" customHeight="1" x14ac:dyDescent="0.25">
      <c r="A6" s="29" t="s">
        <v>6</v>
      </c>
      <c r="B6" s="43">
        <v>-2.774E-3</v>
      </c>
      <c r="C6" s="43">
        <v>-1.387E-2</v>
      </c>
      <c r="D6" s="43">
        <v>-2.7740000000000001E-2</v>
      </c>
      <c r="E6" s="43">
        <v>-5.5480000000000002E-2</v>
      </c>
      <c r="F6" s="43">
        <v>-8.3220000000000002E-2</v>
      </c>
      <c r="G6" s="43">
        <v>-0.111</v>
      </c>
      <c r="H6" s="43">
        <v>-0.13869999999999999</v>
      </c>
      <c r="I6" s="43">
        <v>-0.16639999999999999</v>
      </c>
      <c r="J6" s="43">
        <v>-0.19420000000000001</v>
      </c>
      <c r="K6" s="43">
        <v>-0.22189999999999999</v>
      </c>
      <c r="L6" s="43">
        <v>-0.24970000000000001</v>
      </c>
      <c r="M6" s="43">
        <v>-0.27739999999999998</v>
      </c>
    </row>
    <row r="7" spans="1:13" ht="30" customHeight="1" x14ac:dyDescent="0.25">
      <c r="A7" s="29" t="s">
        <v>7</v>
      </c>
      <c r="B7" s="43">
        <v>2.7569999999999999E-3</v>
      </c>
      <c r="C7" s="43">
        <v>1.379E-2</v>
      </c>
      <c r="D7" s="43">
        <v>2.7570000000000001E-2</v>
      </c>
      <c r="E7" s="43">
        <v>5.5149999999999998E-2</v>
      </c>
      <c r="F7" s="43">
        <v>8.2720000000000002E-2</v>
      </c>
      <c r="G7" s="43">
        <v>0.1103</v>
      </c>
      <c r="H7" s="43">
        <v>0.13789999999999999</v>
      </c>
      <c r="I7" s="43">
        <v>0.16539999999999999</v>
      </c>
      <c r="J7" s="43">
        <v>0.193</v>
      </c>
      <c r="K7" s="43">
        <v>0.22059999999999999</v>
      </c>
      <c r="L7" s="43">
        <v>0.2482</v>
      </c>
      <c r="M7" s="43">
        <v>0.2757</v>
      </c>
    </row>
    <row r="8" spans="1:13" ht="30" customHeight="1" x14ac:dyDescent="0.25">
      <c r="A8" s="56" t="s">
        <v>8</v>
      </c>
      <c r="B8" s="55">
        <f>$B$4-B4</f>
        <v>0</v>
      </c>
      <c r="C8" s="99">
        <f>$B$4-C4</f>
        <v>1.1033000000000001E-2</v>
      </c>
      <c r="D8" s="99">
        <f t="shared" ref="D8:M8" si="0">$B$4-D4</f>
        <v>2.4813000000000002E-2</v>
      </c>
      <c r="E8" s="99">
        <f t="shared" si="0"/>
        <v>5.2392999999999995E-2</v>
      </c>
      <c r="F8" s="99">
        <f t="shared" si="0"/>
        <v>7.9963000000000006E-2</v>
      </c>
      <c r="G8" s="99">
        <f t="shared" si="0"/>
        <v>0.107543</v>
      </c>
      <c r="H8" s="99">
        <f t="shared" si="0"/>
        <v>0.13514299999999999</v>
      </c>
      <c r="I8" s="99">
        <f t="shared" si="0"/>
        <v>0.16264299999999998</v>
      </c>
      <c r="J8" s="99">
        <f t="shared" si="0"/>
        <v>0.190243</v>
      </c>
      <c r="K8" s="99">
        <f t="shared" si="0"/>
        <v>0.21784299999999998</v>
      </c>
      <c r="L8" s="99">
        <f t="shared" si="0"/>
        <v>0.24544299999999999</v>
      </c>
      <c r="M8" s="99">
        <f t="shared" si="0"/>
        <v>0.27294299999999999</v>
      </c>
    </row>
    <row r="9" spans="1:13" ht="45" x14ac:dyDescent="0.25">
      <c r="A9" s="57" t="s">
        <v>90</v>
      </c>
      <c r="B9" s="96"/>
      <c r="C9" s="97">
        <f>C2/C8</f>
        <v>45.31858968548898</v>
      </c>
      <c r="D9" s="97">
        <f t="shared" ref="D9:M9" si="1">D2/D8</f>
        <v>40.301454882521256</v>
      </c>
      <c r="E9" s="97">
        <f t="shared" si="1"/>
        <v>38.1730383829901</v>
      </c>
      <c r="F9" s="97">
        <f t="shared" si="1"/>
        <v>37.517351775196026</v>
      </c>
      <c r="G9" s="97">
        <f t="shared" si="1"/>
        <v>37.194424555759092</v>
      </c>
      <c r="H9" s="97">
        <f t="shared" si="1"/>
        <v>36.997846725320592</v>
      </c>
      <c r="I9" s="97">
        <f t="shared" si="1"/>
        <v>36.890613183475466</v>
      </c>
      <c r="J9" s="97">
        <f t="shared" si="1"/>
        <v>36.795046335476208</v>
      </c>
      <c r="K9" s="97">
        <f t="shared" si="1"/>
        <v>36.723695505478716</v>
      </c>
      <c r="L9" s="97">
        <f t="shared" si="1"/>
        <v>36.668391439152877</v>
      </c>
      <c r="M9" s="97">
        <f t="shared" si="1"/>
        <v>36.637686256837512</v>
      </c>
    </row>
    <row r="10" spans="1:13" x14ac:dyDescent="0.25">
      <c r="A10" s="47" t="s">
        <v>66</v>
      </c>
      <c r="B10" s="98"/>
      <c r="C10" s="72">
        <f>AVERAGE(C9:M9)</f>
        <v>38.110739884336077</v>
      </c>
      <c r="D10" s="72">
        <f>C10</f>
        <v>38.110739884336077</v>
      </c>
      <c r="E10" s="72">
        <f t="shared" ref="E10:M10" si="2">D10</f>
        <v>38.110739884336077</v>
      </c>
      <c r="F10" s="72">
        <f t="shared" si="2"/>
        <v>38.110739884336077</v>
      </c>
      <c r="G10" s="72">
        <f t="shared" si="2"/>
        <v>38.110739884336077</v>
      </c>
      <c r="H10" s="72">
        <f t="shared" si="2"/>
        <v>38.110739884336077</v>
      </c>
      <c r="I10" s="72">
        <f t="shared" si="2"/>
        <v>38.110739884336077</v>
      </c>
      <c r="J10" s="72">
        <f t="shared" si="2"/>
        <v>38.110739884336077</v>
      </c>
      <c r="K10" s="72">
        <f t="shared" si="2"/>
        <v>38.110739884336077</v>
      </c>
      <c r="L10" s="72">
        <f t="shared" si="2"/>
        <v>38.110739884336077</v>
      </c>
      <c r="M10" s="72">
        <f t="shared" si="2"/>
        <v>38.110739884336077</v>
      </c>
    </row>
    <row r="12" spans="1:13" x14ac:dyDescent="0.25">
      <c r="C12" t="s">
        <v>68</v>
      </c>
    </row>
    <row r="74" spans="4:5" x14ac:dyDescent="0.25">
      <c r="D74" t="s">
        <v>62</v>
      </c>
      <c r="E74" t="s">
        <v>63</v>
      </c>
    </row>
  </sheetData>
  <mergeCells count="1">
    <mergeCell ref="A1:M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D496-6413-491B-944C-0683672B7732}">
  <dimension ref="A1:L5"/>
  <sheetViews>
    <sheetView showGridLines="0" zoomScaleNormal="100" workbookViewId="0">
      <selection activeCell="L4" sqref="A2:L4"/>
    </sheetView>
  </sheetViews>
  <sheetFormatPr baseColWidth="10" defaultColWidth="11.42578125" defaultRowHeight="15" x14ac:dyDescent="0.25"/>
  <cols>
    <col min="1" max="1" width="19.7109375" customWidth="1"/>
    <col min="2" max="12" width="7" bestFit="1" customWidth="1"/>
  </cols>
  <sheetData>
    <row r="1" spans="1:12" ht="15.75" x14ac:dyDescent="0.25">
      <c r="A1" s="180" t="s">
        <v>1</v>
      </c>
      <c r="B1" s="180"/>
      <c r="C1" s="180"/>
      <c r="D1" s="180"/>
      <c r="E1" s="180"/>
      <c r="F1" s="180"/>
      <c r="G1" s="180"/>
      <c r="H1" s="180"/>
      <c r="I1" s="180"/>
      <c r="J1" s="180"/>
      <c r="K1" s="180"/>
      <c r="L1" s="180"/>
    </row>
    <row r="2" spans="1:12" x14ac:dyDescent="0.25">
      <c r="A2" s="94" t="s">
        <v>2</v>
      </c>
      <c r="B2" s="95">
        <v>0.5</v>
      </c>
      <c r="C2" s="95">
        <v>1</v>
      </c>
      <c r="D2" s="95">
        <v>2</v>
      </c>
      <c r="E2" s="95">
        <v>3</v>
      </c>
      <c r="F2" s="95">
        <v>4</v>
      </c>
      <c r="G2" s="95">
        <v>5</v>
      </c>
      <c r="H2" s="95">
        <v>6</v>
      </c>
      <c r="I2" s="95">
        <v>7</v>
      </c>
      <c r="J2" s="95">
        <v>8</v>
      </c>
      <c r="K2" s="95">
        <v>9</v>
      </c>
      <c r="L2" s="95">
        <v>10</v>
      </c>
    </row>
    <row r="3" spans="1:12" x14ac:dyDescent="0.25">
      <c r="A3" s="92" t="s">
        <v>7</v>
      </c>
      <c r="B3" s="93">
        <v>2.9999999999999997E-4</v>
      </c>
      <c r="C3" s="93">
        <v>5.9999999999999995E-4</v>
      </c>
      <c r="D3" s="93">
        <v>1.2999999999999999E-3</v>
      </c>
      <c r="E3" s="93">
        <v>1.9E-3</v>
      </c>
      <c r="F3" s="93">
        <v>2.5000000000000001E-3</v>
      </c>
      <c r="G3" s="93">
        <v>3.2000000000000002E-3</v>
      </c>
      <c r="H3" s="93">
        <v>3.8E-3</v>
      </c>
      <c r="I3" s="93">
        <v>4.4000000000000003E-3</v>
      </c>
      <c r="J3" s="93">
        <v>5.1000000000000004E-3</v>
      </c>
      <c r="K3" s="93">
        <v>5.7000000000000002E-3</v>
      </c>
      <c r="L3" s="93">
        <v>6.4000000000000003E-3</v>
      </c>
    </row>
    <row r="4" spans="1:12" ht="30" x14ac:dyDescent="0.25">
      <c r="A4" s="57" t="s">
        <v>91</v>
      </c>
      <c r="B4" s="100">
        <f>B2/B3</f>
        <v>1666.6666666666667</v>
      </c>
      <c r="C4" s="100">
        <f t="shared" ref="C4:L4" si="0">C2/C3</f>
        <v>1666.6666666666667</v>
      </c>
      <c r="D4" s="100">
        <f t="shared" si="0"/>
        <v>1538.4615384615386</v>
      </c>
      <c r="E4" s="100">
        <f t="shared" si="0"/>
        <v>1578.9473684210527</v>
      </c>
      <c r="F4" s="100">
        <f t="shared" si="0"/>
        <v>1600</v>
      </c>
      <c r="G4" s="100">
        <f t="shared" si="0"/>
        <v>1562.5</v>
      </c>
      <c r="H4" s="100">
        <f t="shared" si="0"/>
        <v>1578.9473684210527</v>
      </c>
      <c r="I4" s="100">
        <f t="shared" si="0"/>
        <v>1590.9090909090908</v>
      </c>
      <c r="J4" s="100">
        <f t="shared" si="0"/>
        <v>1568.627450980392</v>
      </c>
      <c r="K4" s="100">
        <f t="shared" si="0"/>
        <v>1578.9473684210525</v>
      </c>
      <c r="L4" s="100">
        <f t="shared" si="0"/>
        <v>1562.5</v>
      </c>
    </row>
    <row r="5" spans="1:12" x14ac:dyDescent="0.25">
      <c r="A5" s="47" t="s">
        <v>66</v>
      </c>
      <c r="B5" s="98">
        <f>AVERAGE(B4:L4)</f>
        <v>1590.288501722501</v>
      </c>
      <c r="C5" s="98">
        <f>B5</f>
        <v>1590.288501722501</v>
      </c>
      <c r="D5" s="98">
        <f t="shared" ref="D5:L5" si="1">C5</f>
        <v>1590.288501722501</v>
      </c>
      <c r="E5" s="98">
        <f t="shared" si="1"/>
        <v>1590.288501722501</v>
      </c>
      <c r="F5" s="98">
        <f t="shared" si="1"/>
        <v>1590.288501722501</v>
      </c>
      <c r="G5" s="98">
        <f t="shared" si="1"/>
        <v>1590.288501722501</v>
      </c>
      <c r="H5" s="98">
        <f t="shared" si="1"/>
        <v>1590.288501722501</v>
      </c>
      <c r="I5" s="98">
        <f t="shared" si="1"/>
        <v>1590.288501722501</v>
      </c>
      <c r="J5" s="98">
        <f t="shared" si="1"/>
        <v>1590.288501722501</v>
      </c>
      <c r="K5" s="98">
        <f t="shared" si="1"/>
        <v>1590.288501722501</v>
      </c>
      <c r="L5" s="98">
        <f t="shared" si="1"/>
        <v>1590.288501722501</v>
      </c>
    </row>
  </sheetData>
  <mergeCells count="1">
    <mergeCell ref="A1:L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85AC-DA9A-472F-8E2B-3693A243CBF0}">
  <dimension ref="A1:N16"/>
  <sheetViews>
    <sheetView showGridLines="0" zoomScaleNormal="100" workbookViewId="0">
      <selection activeCell="M4" sqref="M4"/>
    </sheetView>
  </sheetViews>
  <sheetFormatPr baseColWidth="10" defaultColWidth="11.42578125" defaultRowHeight="15" x14ac:dyDescent="0.25"/>
  <cols>
    <col min="1" max="1" width="33.7109375" bestFit="1" customWidth="1"/>
    <col min="2" max="12" width="11.140625" bestFit="1" customWidth="1"/>
    <col min="13" max="13" width="15.42578125" bestFit="1" customWidth="1"/>
    <col min="14" max="14" width="15.140625" bestFit="1" customWidth="1"/>
  </cols>
  <sheetData>
    <row r="1" spans="1:14" ht="15.75" x14ac:dyDescent="0.25">
      <c r="A1" s="180" t="s">
        <v>1</v>
      </c>
      <c r="B1" s="180"/>
      <c r="C1" s="180"/>
      <c r="D1" s="180"/>
      <c r="E1" s="180"/>
      <c r="F1" s="180"/>
      <c r="G1" s="180"/>
      <c r="H1" s="180"/>
      <c r="I1" s="180"/>
      <c r="J1" s="180"/>
      <c r="K1" s="180"/>
      <c r="L1" s="180"/>
    </row>
    <row r="2" spans="1:14" x14ac:dyDescent="0.25">
      <c r="A2" s="13" t="s">
        <v>2</v>
      </c>
      <c r="B2" s="13">
        <v>0.5</v>
      </c>
      <c r="C2" s="13">
        <v>1</v>
      </c>
      <c r="D2" s="13">
        <v>2</v>
      </c>
      <c r="E2" s="13">
        <v>3</v>
      </c>
      <c r="F2" s="13">
        <v>4</v>
      </c>
      <c r="G2" s="13">
        <v>5</v>
      </c>
      <c r="H2" s="13">
        <v>6</v>
      </c>
      <c r="I2" s="13">
        <v>7</v>
      </c>
      <c r="J2" s="13">
        <v>8</v>
      </c>
      <c r="K2" s="13">
        <v>9</v>
      </c>
      <c r="L2" s="13">
        <v>10</v>
      </c>
      <c r="M2" s="13" t="s">
        <v>10</v>
      </c>
      <c r="N2" s="13" t="s">
        <v>11</v>
      </c>
    </row>
    <row r="3" spans="1:14" x14ac:dyDescent="0.25">
      <c r="A3" s="8" t="s">
        <v>12</v>
      </c>
      <c r="B3" s="2">
        <v>2.6725000000000002E-2</v>
      </c>
      <c r="C3" s="2">
        <v>5.9435000000000002E-2</v>
      </c>
      <c r="D3" s="2">
        <v>0.12751500000000002</v>
      </c>
      <c r="E3" s="2">
        <v>0.217115</v>
      </c>
      <c r="F3" s="2">
        <v>0.293715</v>
      </c>
      <c r="G3" s="2">
        <v>0.31921500000000003</v>
      </c>
      <c r="H3" s="2">
        <v>0.38441500000000001</v>
      </c>
      <c r="I3" s="2">
        <v>0.44971499999999998</v>
      </c>
      <c r="J3" s="2">
        <v>0.56771499999999997</v>
      </c>
      <c r="K3" s="2">
        <v>0.64141499999999996</v>
      </c>
      <c r="L3" s="2">
        <v>0.71571499999999999</v>
      </c>
      <c r="M3" s="12" t="s">
        <v>13</v>
      </c>
      <c r="N3" s="9" t="s">
        <v>14</v>
      </c>
    </row>
    <row r="4" spans="1:14" x14ac:dyDescent="0.25">
      <c r="A4" s="3" t="s">
        <v>15</v>
      </c>
      <c r="B4" s="5">
        <v>4.999999999999999E-4</v>
      </c>
      <c r="C4" s="5">
        <v>1E-3</v>
      </c>
      <c r="D4" s="5">
        <v>2.1000000000000003E-3</v>
      </c>
      <c r="E4" s="5">
        <v>3.2000000000000002E-3</v>
      </c>
      <c r="F4" s="5">
        <v>4.3999999999999994E-3</v>
      </c>
      <c r="G4" s="5">
        <v>5.4999999999999997E-3</v>
      </c>
      <c r="H4" s="5">
        <v>6.6E-3</v>
      </c>
      <c r="I4" s="5">
        <v>7.6999999999999994E-3</v>
      </c>
      <c r="J4" s="5">
        <v>8.8000000000000005E-3</v>
      </c>
      <c r="K4" s="5">
        <v>9.9000000000000008E-3</v>
      </c>
      <c r="L4" s="6">
        <v>1.1000000000000001E-2</v>
      </c>
      <c r="M4" s="10" t="s">
        <v>16</v>
      </c>
      <c r="N4" s="10" t="s">
        <v>14</v>
      </c>
    </row>
    <row r="5" spans="1:14" x14ac:dyDescent="0.25">
      <c r="A5" s="4" t="s">
        <v>17</v>
      </c>
      <c r="B5" s="5">
        <v>8.3099999999999992E-4</v>
      </c>
      <c r="C5" s="5">
        <v>1.8809999999999999E-3</v>
      </c>
      <c r="D5" s="5">
        <v>3.9709999999999997E-3</v>
      </c>
      <c r="E5" s="5">
        <v>6.0610000000000004E-3</v>
      </c>
      <c r="F5" s="5">
        <v>8.1509999999999985E-3</v>
      </c>
      <c r="G5" s="5">
        <v>1.0190999999999999E-2</v>
      </c>
      <c r="H5" s="5">
        <v>1.2291E-2</v>
      </c>
      <c r="I5" s="5">
        <v>1.4390999999999999E-2</v>
      </c>
      <c r="J5" s="5">
        <v>1.6490999999999999E-2</v>
      </c>
      <c r="K5" s="5">
        <v>1.8591E-2</v>
      </c>
      <c r="L5" s="6">
        <v>2.0690999999999998E-2</v>
      </c>
      <c r="M5" s="9" t="s">
        <v>18</v>
      </c>
      <c r="N5" s="9" t="s">
        <v>14</v>
      </c>
    </row>
    <row r="6" spans="1:14" x14ac:dyDescent="0.25">
      <c r="A6" s="7" t="s">
        <v>19</v>
      </c>
      <c r="B6" s="5">
        <v>1.5000000000000001E-4</v>
      </c>
      <c r="C6" s="5">
        <v>3.3E-4</v>
      </c>
      <c r="D6" s="5">
        <v>7.1000000000000002E-4</v>
      </c>
      <c r="E6" s="5">
        <v>1.0799999999999998E-3</v>
      </c>
      <c r="F6" s="5">
        <v>1.4599999999999999E-3</v>
      </c>
      <c r="G6" s="5">
        <v>1.8299999999999998E-3</v>
      </c>
      <c r="H6" s="5">
        <v>2.1999999999999997E-3</v>
      </c>
      <c r="I6" s="5">
        <v>2.5799999999999998E-3</v>
      </c>
      <c r="J6" s="5">
        <v>2.9499999999999999E-3</v>
      </c>
      <c r="K6" s="5">
        <v>3.3300000000000001E-3</v>
      </c>
      <c r="L6" s="6">
        <v>3.6999999999999997E-3</v>
      </c>
      <c r="M6" s="10" t="s">
        <v>16</v>
      </c>
      <c r="N6" s="10" t="s">
        <v>14</v>
      </c>
    </row>
    <row r="7" spans="1:14" x14ac:dyDescent="0.25">
      <c r="A7" s="7" t="s">
        <v>20</v>
      </c>
      <c r="B7" s="5">
        <v>3.8100000000000009E-3</v>
      </c>
      <c r="C7" s="5">
        <v>8.4100000000000008E-3</v>
      </c>
      <c r="D7" s="5">
        <v>1.6972000000000001E-2</v>
      </c>
      <c r="E7" s="5">
        <v>2.4508000000000002E-2</v>
      </c>
      <c r="F7" s="5">
        <v>3.1940000000000003E-2</v>
      </c>
      <c r="G7" s="5">
        <v>3.9620000000000002E-2</v>
      </c>
      <c r="H7" s="5">
        <v>4.7390000000000002E-2</v>
      </c>
      <c r="I7" s="5">
        <v>5.5279999999999996E-2</v>
      </c>
      <c r="J7" s="5">
        <v>6.3240000000000005E-2</v>
      </c>
      <c r="K7" s="5">
        <v>7.1529999999999996E-2</v>
      </c>
      <c r="L7" s="6">
        <v>8.1950000000000009E-2</v>
      </c>
      <c r="M7" s="10" t="s">
        <v>16</v>
      </c>
      <c r="N7" s="10" t="s">
        <v>14</v>
      </c>
    </row>
    <row r="8" spans="1:14" x14ac:dyDescent="0.25">
      <c r="A8" s="4" t="s">
        <v>21</v>
      </c>
      <c r="B8" s="5">
        <v>2.1289999999999998E-3</v>
      </c>
      <c r="C8" s="5">
        <v>4.7789999999999994E-3</v>
      </c>
      <c r="D8" s="5">
        <v>1.0069E-2</v>
      </c>
      <c r="E8" s="5">
        <v>1.5369000000000001E-2</v>
      </c>
      <c r="F8" s="5">
        <v>2.0669E-2</v>
      </c>
      <c r="G8" s="5">
        <v>2.6068999999999998E-2</v>
      </c>
      <c r="H8" s="5">
        <v>3.1369000000000001E-2</v>
      </c>
      <c r="I8" s="5">
        <v>3.6669E-2</v>
      </c>
      <c r="J8" s="5">
        <v>4.1969000000000006E-2</v>
      </c>
      <c r="K8" s="5">
        <v>4.7269000000000005E-2</v>
      </c>
      <c r="L8" s="6">
        <v>5.2569000000000005E-2</v>
      </c>
      <c r="M8" s="10" t="s">
        <v>22</v>
      </c>
      <c r="N8" s="10" t="s">
        <v>23</v>
      </c>
    </row>
    <row r="9" spans="1:14" x14ac:dyDescent="0.25">
      <c r="A9" s="4" t="s">
        <v>24</v>
      </c>
      <c r="B9" s="5">
        <v>2.3670000000000002E-5</v>
      </c>
      <c r="C9" s="5">
        <v>5.8706999999999997E-4</v>
      </c>
      <c r="D9" s="5">
        <v>1.1307E-4</v>
      </c>
      <c r="E9" s="5">
        <v>1.7207E-4</v>
      </c>
      <c r="F9" s="5">
        <v>2.3107E-4</v>
      </c>
      <c r="G9" s="5">
        <v>2.9006999999999997E-4</v>
      </c>
      <c r="H9" s="5">
        <v>3.5006999999999996E-4</v>
      </c>
      <c r="I9" s="5">
        <v>4.0906999999999998E-4</v>
      </c>
      <c r="J9" s="5">
        <v>4.6806999999999996E-4</v>
      </c>
      <c r="K9" s="5">
        <v>5.2806999999999995E-4</v>
      </c>
      <c r="L9" s="6">
        <v>5.8706999999999997E-4</v>
      </c>
      <c r="M9" s="10" t="s">
        <v>22</v>
      </c>
      <c r="N9" s="10" t="s">
        <v>23</v>
      </c>
    </row>
    <row r="10" spans="1:14" x14ac:dyDescent="0.25">
      <c r="A10" s="7" t="s">
        <v>25</v>
      </c>
      <c r="B10" s="5">
        <v>2.0400000000000001E-3</v>
      </c>
      <c r="C10" s="5">
        <v>4.6500000000000014E-3</v>
      </c>
      <c r="D10" s="5">
        <v>1.0002E-2</v>
      </c>
      <c r="E10" s="5">
        <v>1.5471E-2</v>
      </c>
      <c r="F10" s="5">
        <v>2.1101000000000002E-2</v>
      </c>
      <c r="G10" s="5">
        <v>2.6918999999999998E-2</v>
      </c>
      <c r="H10" s="5">
        <v>3.2780000000000004E-2</v>
      </c>
      <c r="I10" s="5">
        <v>3.8699999999999998E-2</v>
      </c>
      <c r="J10" s="5">
        <v>4.4609999999999997E-2</v>
      </c>
      <c r="K10" s="5">
        <v>5.058E-2</v>
      </c>
      <c r="L10" s="6">
        <v>5.663E-2</v>
      </c>
      <c r="M10" s="10" t="s">
        <v>16</v>
      </c>
      <c r="N10" s="10" t="s">
        <v>14</v>
      </c>
    </row>
    <row r="11" spans="1:14" x14ac:dyDescent="0.25">
      <c r="A11" s="7" t="s">
        <v>26</v>
      </c>
      <c r="B11" s="5">
        <v>1.1119999999999999E-4</v>
      </c>
      <c r="C11" s="5">
        <v>2.5019999999999996E-4</v>
      </c>
      <c r="D11" s="5">
        <v>5.2819999999999994E-4</v>
      </c>
      <c r="E11" s="5">
        <v>8.0619999999999997E-4</v>
      </c>
      <c r="F11" s="5">
        <v>1.0822000000000002E-3</v>
      </c>
      <c r="G11" s="5">
        <v>1.3622E-3</v>
      </c>
      <c r="H11" s="5">
        <v>1.6422000000000001E-3</v>
      </c>
      <c r="I11" s="5">
        <v>1.9222E-3</v>
      </c>
      <c r="J11" s="5">
        <v>2.0621999999999997E-3</v>
      </c>
      <c r="K11" s="5">
        <v>2.4721999999999999E-3</v>
      </c>
      <c r="L11" s="6">
        <v>2.7521999999999998E-3</v>
      </c>
      <c r="M11" s="10" t="s">
        <v>16</v>
      </c>
      <c r="N11" s="10" t="s">
        <v>14</v>
      </c>
    </row>
    <row r="12" spans="1:14" x14ac:dyDescent="0.25">
      <c r="A12" s="4" t="s">
        <v>27</v>
      </c>
      <c r="B12" s="5">
        <v>8.3099999999999992E-4</v>
      </c>
      <c r="C12" s="5">
        <v>1.8809999999999999E-3</v>
      </c>
      <c r="D12" s="5">
        <v>3.9709999999999997E-3</v>
      </c>
      <c r="E12" s="5">
        <v>6.0610000000000004E-3</v>
      </c>
      <c r="F12" s="5">
        <v>8.1509999999999985E-3</v>
      </c>
      <c r="G12" s="5">
        <v>1.0190999999999999E-2</v>
      </c>
      <c r="H12" s="5">
        <v>1.2291E-2</v>
      </c>
      <c r="I12" s="5">
        <v>1.4390999999999999E-2</v>
      </c>
      <c r="J12" s="5">
        <v>1.6490999999999999E-2</v>
      </c>
      <c r="K12" s="5">
        <v>1.8591E-2</v>
      </c>
      <c r="L12" s="6">
        <v>2.0690999999999998E-2</v>
      </c>
      <c r="M12" s="9" t="s">
        <v>18</v>
      </c>
      <c r="N12" s="9" t="s">
        <v>14</v>
      </c>
    </row>
    <row r="13" spans="1:14" x14ac:dyDescent="0.25">
      <c r="A13" s="4" t="s">
        <v>28</v>
      </c>
      <c r="B13" s="5">
        <v>1.1033000000000001E-2</v>
      </c>
      <c r="C13" s="5">
        <v>2.4813000000000002E-2</v>
      </c>
      <c r="D13" s="5">
        <v>5.2392999999999995E-2</v>
      </c>
      <c r="E13" s="5">
        <v>7.9963000000000006E-2</v>
      </c>
      <c r="F13" s="5">
        <v>0.107543</v>
      </c>
      <c r="G13" s="5">
        <v>0.13514299999999999</v>
      </c>
      <c r="H13" s="5">
        <v>0.16264299999999998</v>
      </c>
      <c r="I13" s="5">
        <v>0.190243</v>
      </c>
      <c r="J13" s="5">
        <v>0.21784299999999998</v>
      </c>
      <c r="K13" s="5">
        <v>0.24544299999999999</v>
      </c>
      <c r="L13" s="6">
        <v>0.27294299999999999</v>
      </c>
      <c r="M13" s="10" t="s">
        <v>29</v>
      </c>
      <c r="N13" s="10" t="s">
        <v>14</v>
      </c>
    </row>
    <row r="14" spans="1:14" x14ac:dyDescent="0.25">
      <c r="A14" s="4" t="s">
        <v>15</v>
      </c>
      <c r="B14" s="5">
        <v>4.999999999999999E-4</v>
      </c>
      <c r="C14" s="5">
        <v>1E-3</v>
      </c>
      <c r="D14" s="5">
        <v>2.1000000000000003E-3</v>
      </c>
      <c r="E14" s="5">
        <v>3.2000000000000002E-3</v>
      </c>
      <c r="F14" s="5">
        <v>4.3999999999999994E-3</v>
      </c>
      <c r="G14" s="5">
        <v>5.4999999999999997E-3</v>
      </c>
      <c r="H14" s="5">
        <v>6.6E-3</v>
      </c>
      <c r="I14" s="5">
        <v>7.6999999999999994E-3</v>
      </c>
      <c r="J14" s="5">
        <v>8.8000000000000005E-3</v>
      </c>
      <c r="K14" s="5">
        <v>9.9000000000000008E-3</v>
      </c>
      <c r="L14" s="6">
        <v>1.1000000000000001E-2</v>
      </c>
      <c r="M14" s="10" t="s">
        <v>16</v>
      </c>
      <c r="N14" s="10" t="s">
        <v>14</v>
      </c>
    </row>
    <row r="15" spans="1:14" x14ac:dyDescent="0.25">
      <c r="A15" s="8" t="s">
        <v>30</v>
      </c>
      <c r="B15" s="2">
        <v>2.6725000000000002E-2</v>
      </c>
      <c r="C15" s="2">
        <v>5.9435000000000002E-2</v>
      </c>
      <c r="D15" s="2">
        <v>0.12751500000000002</v>
      </c>
      <c r="E15" s="2">
        <v>0.217115</v>
      </c>
      <c r="F15" s="2">
        <v>0.293715</v>
      </c>
      <c r="G15" s="2">
        <v>0.31921500000000003</v>
      </c>
      <c r="H15" s="2">
        <v>0.38441500000000001</v>
      </c>
      <c r="I15" s="2">
        <v>0.44971499999999998</v>
      </c>
      <c r="J15" s="2">
        <v>0.56771499999999997</v>
      </c>
      <c r="K15" s="2">
        <v>0.64141499999999996</v>
      </c>
      <c r="L15" s="2">
        <v>0.71571499999999999</v>
      </c>
      <c r="M15" s="11" t="s">
        <v>29</v>
      </c>
      <c r="N15" s="11" t="s">
        <v>14</v>
      </c>
    </row>
    <row r="16" spans="1:14" x14ac:dyDescent="0.25">
      <c r="A16" s="14" t="s">
        <v>31</v>
      </c>
      <c r="B16" s="2">
        <f t="shared" ref="B16:L16" si="0">SUM(B3:B15)</f>
        <v>7.5408870000000003E-2</v>
      </c>
      <c r="C16" s="2">
        <f t="shared" si="0"/>
        <v>0.16845127000000001</v>
      </c>
      <c r="D16" s="2">
        <f t="shared" si="0"/>
        <v>0.35795927000000005</v>
      </c>
      <c r="E16" s="2">
        <f t="shared" si="0"/>
        <v>0.59012127000000003</v>
      </c>
      <c r="F16" s="2">
        <f t="shared" si="0"/>
        <v>0.79655827000000001</v>
      </c>
      <c r="G16" s="2">
        <f t="shared" si="0"/>
        <v>0.9010452699999999</v>
      </c>
      <c r="H16" s="2">
        <f t="shared" si="0"/>
        <v>1.0849862700000001</v>
      </c>
      <c r="I16" s="2">
        <f t="shared" si="0"/>
        <v>1.2694152700000001</v>
      </c>
      <c r="J16" s="2">
        <f t="shared" si="0"/>
        <v>1.5591542700000001</v>
      </c>
      <c r="K16" s="2">
        <f t="shared" si="0"/>
        <v>1.7609642700000001</v>
      </c>
      <c r="L16" s="2">
        <f t="shared" si="0"/>
        <v>1.9659432699999999</v>
      </c>
      <c r="M16" s="2"/>
      <c r="N16" s="2"/>
    </row>
  </sheetData>
  <mergeCells count="1">
    <mergeCell ref="A1:L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C02D-1311-41EA-A3F5-2C2CCAEF7A44}">
  <dimension ref="B1:T66"/>
  <sheetViews>
    <sheetView showGridLines="0" zoomScaleNormal="100" workbookViewId="0">
      <selection activeCell="Q4" sqref="Q4"/>
    </sheetView>
  </sheetViews>
  <sheetFormatPr baseColWidth="10" defaultColWidth="11.42578125" defaultRowHeight="15" x14ac:dyDescent="0.25"/>
  <cols>
    <col min="2" max="2" width="13.42578125" customWidth="1"/>
    <col min="3" max="13" width="9" bestFit="1" customWidth="1"/>
    <col min="14" max="14" width="11.85546875" customWidth="1"/>
    <col min="15" max="15" width="15.28515625" customWidth="1"/>
    <col min="20" max="20" width="12" bestFit="1" customWidth="1"/>
  </cols>
  <sheetData>
    <row r="1" spans="2:15" ht="16.5" customHeight="1" thickBot="1" x14ac:dyDescent="0.3">
      <c r="B1" s="180" t="s">
        <v>1</v>
      </c>
      <c r="C1" s="180"/>
      <c r="D1" s="180"/>
      <c r="E1" s="180"/>
      <c r="F1" s="180"/>
      <c r="G1" s="180"/>
      <c r="H1" s="180"/>
      <c r="I1" s="180"/>
      <c r="J1" s="180"/>
      <c r="K1" s="180"/>
      <c r="L1" s="180"/>
      <c r="M1" s="180"/>
    </row>
    <row r="2" spans="2:15" ht="16.5" thickBot="1" x14ac:dyDescent="0.3">
      <c r="B2" s="185" t="s">
        <v>69</v>
      </c>
      <c r="C2" s="181" t="s">
        <v>2</v>
      </c>
      <c r="D2" s="181"/>
      <c r="E2" s="181"/>
      <c r="F2" s="181"/>
      <c r="G2" s="181"/>
      <c r="H2" s="181"/>
      <c r="I2" s="181"/>
      <c r="J2" s="181"/>
      <c r="K2" s="181"/>
      <c r="L2" s="181"/>
      <c r="M2" s="182"/>
      <c r="N2" s="183" t="s">
        <v>80</v>
      </c>
      <c r="O2" s="187" t="s">
        <v>115</v>
      </c>
    </row>
    <row r="3" spans="2:15" ht="15.75" thickBot="1" x14ac:dyDescent="0.3">
      <c r="B3" s="186"/>
      <c r="C3" s="75">
        <v>0.5</v>
      </c>
      <c r="D3" s="76">
        <v>1</v>
      </c>
      <c r="E3" s="76">
        <v>2</v>
      </c>
      <c r="F3" s="76">
        <v>3</v>
      </c>
      <c r="G3" s="76">
        <v>4</v>
      </c>
      <c r="H3" s="76">
        <v>5</v>
      </c>
      <c r="I3" s="76">
        <v>6</v>
      </c>
      <c r="J3" s="76">
        <v>7</v>
      </c>
      <c r="K3" s="76">
        <v>8</v>
      </c>
      <c r="L3" s="76">
        <v>9</v>
      </c>
      <c r="M3" s="77">
        <v>10</v>
      </c>
      <c r="N3" s="184"/>
      <c r="O3" s="188"/>
    </row>
    <row r="4" spans="2:15" ht="45" customHeight="1" x14ac:dyDescent="0.25">
      <c r="B4" s="74" t="s">
        <v>81</v>
      </c>
      <c r="C4" s="78">
        <v>2.7878E-3</v>
      </c>
      <c r="D4" s="78">
        <v>6.0567999999999993E-3</v>
      </c>
      <c r="E4" s="78">
        <v>1.29228E-2</v>
      </c>
      <c r="F4" s="78">
        <v>2.2742800000000001E-2</v>
      </c>
      <c r="G4" s="78">
        <v>3.0912800000000001E-2</v>
      </c>
      <c r="H4" s="78">
        <v>3.4322800000000001E-2</v>
      </c>
      <c r="I4" s="78">
        <v>4.1312799999999997E-2</v>
      </c>
      <c r="J4" s="78">
        <v>4.83028E-2</v>
      </c>
      <c r="K4" s="78">
        <v>5.6942799999999995E-2</v>
      </c>
      <c r="L4" s="78">
        <v>6.4232800000000007E-2</v>
      </c>
      <c r="M4" s="79">
        <v>7.15528E-2</v>
      </c>
      <c r="N4" s="87" t="s">
        <v>85</v>
      </c>
      <c r="O4" s="73" t="s">
        <v>14</v>
      </c>
    </row>
    <row r="5" spans="2:15" ht="45" customHeight="1" x14ac:dyDescent="0.25">
      <c r="B5" s="58" t="s">
        <v>70</v>
      </c>
      <c r="C5" s="28">
        <v>0</v>
      </c>
      <c r="D5" s="28">
        <v>0</v>
      </c>
      <c r="E5" s="28">
        <v>0</v>
      </c>
      <c r="F5" s="28">
        <v>2.9E-5</v>
      </c>
      <c r="G5" s="28">
        <v>3.8000000000000002E-4</v>
      </c>
      <c r="H5" s="28">
        <v>4.7999999999999996E-3</v>
      </c>
      <c r="I5" s="28">
        <v>5.7999999999999996E-3</v>
      </c>
      <c r="J5" s="28">
        <v>6.7000000000000002E-3</v>
      </c>
      <c r="K5" s="28">
        <v>7.7000000000000002E-3</v>
      </c>
      <c r="L5" s="28">
        <v>8.6E-3</v>
      </c>
      <c r="M5" s="80">
        <v>9.5999999999999992E-3</v>
      </c>
      <c r="N5" s="88" t="s">
        <v>64</v>
      </c>
      <c r="O5" s="67" t="s">
        <v>14</v>
      </c>
    </row>
    <row r="6" spans="2:15" ht="45" customHeight="1" x14ac:dyDescent="0.25">
      <c r="B6" s="59" t="s">
        <v>71</v>
      </c>
      <c r="C6" s="81">
        <v>4.999999999999999E-4</v>
      </c>
      <c r="D6" s="81">
        <v>1E-3</v>
      </c>
      <c r="E6" s="81">
        <v>2.1000000000000003E-3</v>
      </c>
      <c r="F6" s="81">
        <v>3.2000000000000002E-3</v>
      </c>
      <c r="G6" s="81">
        <v>4.3999999999999994E-3</v>
      </c>
      <c r="H6" s="81">
        <v>5.4999999999999997E-3</v>
      </c>
      <c r="I6" s="81">
        <v>6.6E-3</v>
      </c>
      <c r="J6" s="81">
        <v>7.6999999999999994E-3</v>
      </c>
      <c r="K6" s="81">
        <v>8.8000000000000005E-3</v>
      </c>
      <c r="L6" s="81">
        <v>9.9000000000000008E-3</v>
      </c>
      <c r="M6" s="82">
        <v>1.1000000000000001E-2</v>
      </c>
      <c r="N6" s="89" t="s">
        <v>18</v>
      </c>
      <c r="O6" s="69" t="s">
        <v>14</v>
      </c>
    </row>
    <row r="7" spans="2:15" ht="45" customHeight="1" x14ac:dyDescent="0.25">
      <c r="B7" s="60" t="s">
        <v>72</v>
      </c>
      <c r="C7" s="83">
        <v>8.3099999999999992E-4</v>
      </c>
      <c r="D7" s="83">
        <v>1.8809999999999999E-3</v>
      </c>
      <c r="E7" s="83">
        <v>3.9709999999999997E-3</v>
      </c>
      <c r="F7" s="83">
        <v>6.0610000000000004E-3</v>
      </c>
      <c r="G7" s="83">
        <v>8.1509999999999985E-3</v>
      </c>
      <c r="H7" s="83">
        <v>1.0190999999999999E-2</v>
      </c>
      <c r="I7" s="83">
        <v>1.2291E-2</v>
      </c>
      <c r="J7" s="83">
        <v>1.4390999999999999E-2</v>
      </c>
      <c r="K7" s="83">
        <v>1.6490999999999999E-2</v>
      </c>
      <c r="L7" s="83">
        <v>1.8591E-2</v>
      </c>
      <c r="M7" s="84">
        <v>2.0690999999999998E-2</v>
      </c>
      <c r="N7" s="89" t="s">
        <v>18</v>
      </c>
      <c r="O7" s="66" t="s">
        <v>14</v>
      </c>
    </row>
    <row r="8" spans="2:15" ht="45" customHeight="1" x14ac:dyDescent="0.25">
      <c r="B8" s="60" t="s">
        <v>73</v>
      </c>
      <c r="C8" s="83">
        <v>1.5000000000000001E-4</v>
      </c>
      <c r="D8" s="83">
        <v>3.3E-4</v>
      </c>
      <c r="E8" s="83">
        <v>7.1000000000000002E-4</v>
      </c>
      <c r="F8" s="83">
        <v>1.0799999999999998E-3</v>
      </c>
      <c r="G8" s="83">
        <v>1.4599999999999999E-3</v>
      </c>
      <c r="H8" s="83">
        <v>1.8299999999999998E-3</v>
      </c>
      <c r="I8" s="83">
        <v>2.1999999999999997E-3</v>
      </c>
      <c r="J8" s="83">
        <v>2.5799999999999998E-3</v>
      </c>
      <c r="K8" s="83">
        <v>2.9499999999999999E-3</v>
      </c>
      <c r="L8" s="83">
        <v>3.3300000000000001E-3</v>
      </c>
      <c r="M8" s="84">
        <v>3.6999999999999997E-3</v>
      </c>
      <c r="N8" s="90" t="s">
        <v>84</v>
      </c>
      <c r="O8" s="65" t="s">
        <v>14</v>
      </c>
    </row>
    <row r="9" spans="2:15" ht="45" customHeight="1" x14ac:dyDescent="0.25">
      <c r="B9" s="60" t="s">
        <v>74</v>
      </c>
      <c r="C9" s="83">
        <v>3.8100000000000009E-3</v>
      </c>
      <c r="D9" s="83">
        <v>8.4100000000000008E-3</v>
      </c>
      <c r="E9" s="83">
        <v>1.6972000000000001E-2</v>
      </c>
      <c r="F9" s="83">
        <v>2.4508000000000002E-2</v>
      </c>
      <c r="G9" s="83">
        <v>3.1940000000000003E-2</v>
      </c>
      <c r="H9" s="83">
        <v>3.9620000000000002E-2</v>
      </c>
      <c r="I9" s="83">
        <v>4.7390000000000002E-2</v>
      </c>
      <c r="J9" s="83">
        <v>5.5279999999999996E-2</v>
      </c>
      <c r="K9" s="83">
        <v>6.3240000000000005E-2</v>
      </c>
      <c r="L9" s="83">
        <v>7.1529999999999996E-2</v>
      </c>
      <c r="M9" s="84">
        <v>8.1950000000000009E-2</v>
      </c>
      <c r="N9" s="90" t="s">
        <v>16</v>
      </c>
      <c r="O9" s="65" t="s">
        <v>14</v>
      </c>
    </row>
    <row r="10" spans="2:15" ht="45" customHeight="1" x14ac:dyDescent="0.25">
      <c r="B10" s="60" t="s">
        <v>75</v>
      </c>
      <c r="C10" s="83">
        <v>2.1289999999999998E-3</v>
      </c>
      <c r="D10" s="83">
        <v>4.7789999999999994E-3</v>
      </c>
      <c r="E10" s="83">
        <v>1.0069E-2</v>
      </c>
      <c r="F10" s="83">
        <v>1.5369000000000001E-2</v>
      </c>
      <c r="G10" s="83">
        <v>2.0669E-2</v>
      </c>
      <c r="H10" s="83">
        <v>2.6068999999999998E-2</v>
      </c>
      <c r="I10" s="83">
        <v>3.1369000000000001E-2</v>
      </c>
      <c r="J10" s="83">
        <v>3.6669E-2</v>
      </c>
      <c r="K10" s="83">
        <v>4.1969000000000006E-2</v>
      </c>
      <c r="L10" s="83">
        <v>4.7269000000000005E-2</v>
      </c>
      <c r="M10" s="84">
        <v>5.2569000000000005E-2</v>
      </c>
      <c r="N10" s="90" t="s">
        <v>22</v>
      </c>
      <c r="O10" s="64" t="s">
        <v>23</v>
      </c>
    </row>
    <row r="11" spans="2:15" ht="45" customHeight="1" x14ac:dyDescent="0.25">
      <c r="B11" s="60" t="s">
        <v>76</v>
      </c>
      <c r="C11" s="83">
        <v>2.3670000000000002E-5</v>
      </c>
      <c r="D11" s="83">
        <v>5.8706999999999997E-4</v>
      </c>
      <c r="E11" s="83">
        <v>1.1307E-4</v>
      </c>
      <c r="F11" s="83">
        <v>1.7207E-4</v>
      </c>
      <c r="G11" s="83">
        <v>2.3107E-4</v>
      </c>
      <c r="H11" s="83">
        <v>2.9006999999999997E-4</v>
      </c>
      <c r="I11" s="83">
        <v>3.5006999999999996E-4</v>
      </c>
      <c r="J11" s="83">
        <v>4.0906999999999998E-4</v>
      </c>
      <c r="K11" s="83">
        <v>4.6806999999999996E-4</v>
      </c>
      <c r="L11" s="83">
        <v>5.2806999999999995E-4</v>
      </c>
      <c r="M11" s="84">
        <v>5.8706999999999997E-4</v>
      </c>
      <c r="N11" s="90" t="s">
        <v>22</v>
      </c>
      <c r="O11" s="64" t="s">
        <v>23</v>
      </c>
    </row>
    <row r="12" spans="2:15" ht="45" customHeight="1" x14ac:dyDescent="0.25">
      <c r="B12" s="60" t="s">
        <v>77</v>
      </c>
      <c r="C12" s="83">
        <v>2.0400000000000001E-3</v>
      </c>
      <c r="D12" s="83">
        <v>4.6500000000000014E-3</v>
      </c>
      <c r="E12" s="83">
        <v>1.0002E-2</v>
      </c>
      <c r="F12" s="83">
        <v>1.5471E-2</v>
      </c>
      <c r="G12" s="83">
        <v>2.1101000000000002E-2</v>
      </c>
      <c r="H12" s="83">
        <v>2.6918999999999998E-2</v>
      </c>
      <c r="I12" s="83">
        <v>3.2780000000000004E-2</v>
      </c>
      <c r="J12" s="83">
        <v>3.8699999999999998E-2</v>
      </c>
      <c r="K12" s="83">
        <v>4.4609999999999997E-2</v>
      </c>
      <c r="L12" s="83">
        <v>5.058E-2</v>
      </c>
      <c r="M12" s="84">
        <v>5.663E-2</v>
      </c>
      <c r="N12" s="90" t="s">
        <v>16</v>
      </c>
      <c r="O12" s="65" t="s">
        <v>14</v>
      </c>
    </row>
    <row r="13" spans="2:15" ht="45" customHeight="1" x14ac:dyDescent="0.25">
      <c r="B13" s="60" t="s">
        <v>78</v>
      </c>
      <c r="C13" s="83">
        <v>1.1119999999999999E-4</v>
      </c>
      <c r="D13" s="83">
        <v>2.5019999999999996E-4</v>
      </c>
      <c r="E13" s="83">
        <v>5.2819999999999994E-4</v>
      </c>
      <c r="F13" s="83">
        <v>8.0619999999999997E-4</v>
      </c>
      <c r="G13" s="83">
        <v>1.0822000000000002E-3</v>
      </c>
      <c r="H13" s="83">
        <v>1.3622E-3</v>
      </c>
      <c r="I13" s="83">
        <v>1.6422000000000001E-3</v>
      </c>
      <c r="J13" s="83">
        <v>1.9222E-3</v>
      </c>
      <c r="K13" s="83">
        <v>2.0621999999999997E-3</v>
      </c>
      <c r="L13" s="83">
        <v>2.4721999999999999E-3</v>
      </c>
      <c r="M13" s="84">
        <v>2.7521999999999998E-3</v>
      </c>
      <c r="N13" s="90" t="s">
        <v>64</v>
      </c>
      <c r="O13" s="65" t="s">
        <v>14</v>
      </c>
    </row>
    <row r="14" spans="2:15" ht="45" customHeight="1" x14ac:dyDescent="0.25">
      <c r="B14" s="60" t="s">
        <v>79</v>
      </c>
      <c r="C14" s="83">
        <v>8.3099999999999992E-4</v>
      </c>
      <c r="D14" s="83">
        <v>1.8809999999999999E-3</v>
      </c>
      <c r="E14" s="83">
        <v>3.9709999999999997E-3</v>
      </c>
      <c r="F14" s="83">
        <v>6.0610000000000004E-3</v>
      </c>
      <c r="G14" s="83">
        <v>8.1509999999999985E-3</v>
      </c>
      <c r="H14" s="83">
        <v>1.0190999999999999E-2</v>
      </c>
      <c r="I14" s="83">
        <v>1.2291E-2</v>
      </c>
      <c r="J14" s="83">
        <v>1.4390999999999999E-2</v>
      </c>
      <c r="K14" s="83">
        <v>1.6490999999999999E-2</v>
      </c>
      <c r="L14" s="83">
        <v>1.8591E-2</v>
      </c>
      <c r="M14" s="84">
        <v>2.0690999999999998E-2</v>
      </c>
      <c r="N14" s="89" t="s">
        <v>18</v>
      </c>
      <c r="O14" s="66" t="s">
        <v>14</v>
      </c>
    </row>
    <row r="15" spans="2:15" ht="45" customHeight="1" x14ac:dyDescent="0.25">
      <c r="B15" s="60" t="s">
        <v>71</v>
      </c>
      <c r="C15" s="83">
        <v>4.999999999999999E-4</v>
      </c>
      <c r="D15" s="83">
        <v>1E-3</v>
      </c>
      <c r="E15" s="83">
        <v>2.1000000000000003E-3</v>
      </c>
      <c r="F15" s="83">
        <v>3.2000000000000002E-3</v>
      </c>
      <c r="G15" s="83">
        <v>4.3999999999999994E-3</v>
      </c>
      <c r="H15" s="83">
        <v>5.4999999999999997E-3</v>
      </c>
      <c r="I15" s="83">
        <v>6.6E-3</v>
      </c>
      <c r="J15" s="83">
        <v>7.6999999999999994E-3</v>
      </c>
      <c r="K15" s="83">
        <v>8.8000000000000005E-3</v>
      </c>
      <c r="L15" s="83">
        <v>9.9000000000000008E-3</v>
      </c>
      <c r="M15" s="84">
        <v>1.1000000000000001E-2</v>
      </c>
      <c r="N15" s="90" t="s">
        <v>16</v>
      </c>
      <c r="O15" s="65" t="s">
        <v>14</v>
      </c>
    </row>
    <row r="16" spans="2:15" ht="45" customHeight="1" x14ac:dyDescent="0.25">
      <c r="B16" s="58" t="s">
        <v>70</v>
      </c>
      <c r="C16" s="28">
        <v>0</v>
      </c>
      <c r="D16" s="28">
        <v>0</v>
      </c>
      <c r="E16" s="28">
        <v>0</v>
      </c>
      <c r="F16" s="28">
        <v>2.9E-5</v>
      </c>
      <c r="G16" s="28">
        <v>3.8000000000000002E-4</v>
      </c>
      <c r="H16" s="28">
        <v>4.8000000000000001E-4</v>
      </c>
      <c r="I16" s="28">
        <v>5.8E-4</v>
      </c>
      <c r="J16" s="28">
        <v>6.7000000000000002E-4</v>
      </c>
      <c r="K16" s="28">
        <v>7.6999999999999996E-4</v>
      </c>
      <c r="L16" s="28">
        <v>8.5999999999999998E-4</v>
      </c>
      <c r="M16" s="80">
        <v>9.6000000000000002E-4</v>
      </c>
      <c r="N16" s="88" t="s">
        <v>64</v>
      </c>
      <c r="O16" s="67" t="s">
        <v>14</v>
      </c>
    </row>
    <row r="17" spans="2:15" ht="45" customHeight="1" x14ac:dyDescent="0.25">
      <c r="B17" s="61" t="s">
        <v>81</v>
      </c>
      <c r="C17" s="28">
        <v>2.7878E-3</v>
      </c>
      <c r="D17" s="28">
        <v>6.0567999999999993E-3</v>
      </c>
      <c r="E17" s="28">
        <v>1.29228E-2</v>
      </c>
      <c r="F17" s="28">
        <v>2.2742800000000001E-2</v>
      </c>
      <c r="G17" s="28">
        <v>3.0912800000000001E-2</v>
      </c>
      <c r="H17" s="28">
        <v>3.4322800000000001E-2</v>
      </c>
      <c r="I17" s="28">
        <v>4.1312799999999997E-2</v>
      </c>
      <c r="J17" s="28">
        <v>4.83028E-2</v>
      </c>
      <c r="K17" s="28">
        <v>5.6942799999999995E-2</v>
      </c>
      <c r="L17" s="28">
        <v>6.4232800000000007E-2</v>
      </c>
      <c r="M17" s="80">
        <v>7.15528E-2</v>
      </c>
      <c r="N17" s="91" t="s">
        <v>85</v>
      </c>
      <c r="O17" s="68" t="s">
        <v>14</v>
      </c>
    </row>
    <row r="18" spans="2:15" ht="45" customHeight="1" thickBot="1" x14ac:dyDescent="0.3">
      <c r="B18" s="62" t="s">
        <v>82</v>
      </c>
      <c r="C18" s="85">
        <f t="shared" ref="C18:M18" si="0">SUM(C4:C17)</f>
        <v>1.6501470000000001E-2</v>
      </c>
      <c r="D18" s="85">
        <f t="shared" si="0"/>
        <v>3.6881869999999997E-2</v>
      </c>
      <c r="E18" s="85">
        <f t="shared" si="0"/>
        <v>7.6381869999999991E-2</v>
      </c>
      <c r="F18" s="85">
        <f t="shared" si="0"/>
        <v>0.12147186999999998</v>
      </c>
      <c r="G18" s="85">
        <f t="shared" si="0"/>
        <v>0.16417086999999997</v>
      </c>
      <c r="H18" s="85">
        <f t="shared" si="0"/>
        <v>0.20139787000000003</v>
      </c>
      <c r="I18" s="85">
        <f t="shared" si="0"/>
        <v>0.24251887</v>
      </c>
      <c r="J18" s="85">
        <f t="shared" si="0"/>
        <v>0.28371787000000004</v>
      </c>
      <c r="K18" s="85">
        <f>SUM(K4:K17)</f>
        <v>0.32823686999999996</v>
      </c>
      <c r="L18" s="85">
        <f t="shared" si="0"/>
        <v>0.3706168700000001</v>
      </c>
      <c r="M18" s="86">
        <f t="shared" si="0"/>
        <v>0.41523587000000006</v>
      </c>
      <c r="N18" s="63" t="s">
        <v>83</v>
      </c>
      <c r="O18" s="70" t="s">
        <v>58</v>
      </c>
    </row>
    <row r="19" spans="2:15" ht="45" customHeight="1" x14ac:dyDescent="0.25">
      <c r="B19" s="57" t="s">
        <v>35</v>
      </c>
      <c r="C19" s="71">
        <f>C3/C18</f>
        <v>30.300330819011879</v>
      </c>
      <c r="D19" s="71">
        <f>D3/D18</f>
        <v>27.11359266761691</v>
      </c>
      <c r="E19" s="71">
        <f>E3/E18</f>
        <v>26.18422408354234</v>
      </c>
      <c r="F19" s="71">
        <f t="shared" ref="F19:K19" si="1">F3/F18</f>
        <v>24.697075956762667</v>
      </c>
      <c r="G19" s="71">
        <f t="shared" si="1"/>
        <v>24.364858394184065</v>
      </c>
      <c r="H19" s="71">
        <f t="shared" si="1"/>
        <v>24.826479048661234</v>
      </c>
      <c r="I19" s="71">
        <f t="shared" si="1"/>
        <v>24.740342885483511</v>
      </c>
      <c r="J19" s="71">
        <f t="shared" si="1"/>
        <v>24.672397265635748</v>
      </c>
      <c r="K19" s="71">
        <f t="shared" si="1"/>
        <v>24.372642841738045</v>
      </c>
      <c r="L19" s="71">
        <f>L3/L18</f>
        <v>24.283837915958866</v>
      </c>
      <c r="M19" s="71">
        <f>M3/M18</f>
        <v>24.082697865191651</v>
      </c>
    </row>
    <row r="20" spans="2:15" x14ac:dyDescent="0.25">
      <c r="B20" s="47" t="s">
        <v>66</v>
      </c>
      <c r="C20" s="72">
        <f>AVERAGE(C19:M19)</f>
        <v>25.4216799767079</v>
      </c>
      <c r="D20" s="72">
        <f>C20</f>
        <v>25.4216799767079</v>
      </c>
      <c r="E20" s="72">
        <f t="shared" ref="E20:M20" si="2">D20</f>
        <v>25.4216799767079</v>
      </c>
      <c r="F20" s="72">
        <f t="shared" si="2"/>
        <v>25.4216799767079</v>
      </c>
      <c r="G20" s="72">
        <f t="shared" si="2"/>
        <v>25.4216799767079</v>
      </c>
      <c r="H20" s="72">
        <f t="shared" si="2"/>
        <v>25.4216799767079</v>
      </c>
      <c r="I20" s="72">
        <f t="shared" si="2"/>
        <v>25.4216799767079</v>
      </c>
      <c r="J20" s="72">
        <f t="shared" si="2"/>
        <v>25.4216799767079</v>
      </c>
      <c r="K20" s="72">
        <f t="shared" si="2"/>
        <v>25.4216799767079</v>
      </c>
      <c r="L20" s="72">
        <f t="shared" si="2"/>
        <v>25.4216799767079</v>
      </c>
      <c r="M20" s="72">
        <f t="shared" si="2"/>
        <v>25.4216799767079</v>
      </c>
      <c r="O20" s="48">
        <f>3/M20</f>
        <v>0.11800951010116914</v>
      </c>
    </row>
    <row r="22" spans="2:15" x14ac:dyDescent="0.25">
      <c r="B22" t="s">
        <v>86</v>
      </c>
      <c r="C22">
        <v>1.1033000000000001E-2</v>
      </c>
      <c r="D22">
        <v>2.4813000000000002E-2</v>
      </c>
      <c r="E22">
        <v>5.2392999999999995E-2</v>
      </c>
      <c r="F22">
        <v>7.9963000000000006E-2</v>
      </c>
      <c r="G22">
        <v>0.107543</v>
      </c>
      <c r="H22">
        <v>0.13514299999999999</v>
      </c>
      <c r="I22">
        <v>0.16264299999999998</v>
      </c>
      <c r="J22">
        <v>0.190243</v>
      </c>
      <c r="K22">
        <v>0.21784299999999998</v>
      </c>
      <c r="L22">
        <v>0.24544299999999999</v>
      </c>
      <c r="M22">
        <v>0.27294299999999999</v>
      </c>
      <c r="O22" s="46">
        <f>M20*0.5</f>
        <v>12.71083998835395</v>
      </c>
    </row>
    <row r="24" spans="2:15" x14ac:dyDescent="0.25">
      <c r="B24" t="s">
        <v>32</v>
      </c>
      <c r="C24">
        <v>0.12091</v>
      </c>
      <c r="D24">
        <v>0.12091</v>
      </c>
      <c r="E24">
        <v>0.12091</v>
      </c>
      <c r="F24">
        <v>0.12091</v>
      </c>
      <c r="G24">
        <v>0.12091</v>
      </c>
      <c r="H24">
        <v>0.12091</v>
      </c>
      <c r="I24">
        <v>0.12091</v>
      </c>
      <c r="J24">
        <v>0.12091</v>
      </c>
      <c r="K24">
        <v>0.12091</v>
      </c>
      <c r="L24">
        <v>0.12091</v>
      </c>
      <c r="M24">
        <v>0.12091</v>
      </c>
    </row>
    <row r="25" spans="2:15" x14ac:dyDescent="0.25">
      <c r="B25" t="s">
        <v>33</v>
      </c>
      <c r="C25">
        <f>C24*2</f>
        <v>0.24182000000000001</v>
      </c>
      <c r="D25">
        <f t="shared" ref="D25:M25" si="3">D24*2</f>
        <v>0.24182000000000001</v>
      </c>
      <c r="E25">
        <f t="shared" si="3"/>
        <v>0.24182000000000001</v>
      </c>
      <c r="F25">
        <f t="shared" si="3"/>
        <v>0.24182000000000001</v>
      </c>
      <c r="G25">
        <f t="shared" si="3"/>
        <v>0.24182000000000001</v>
      </c>
      <c r="H25">
        <f t="shared" si="3"/>
        <v>0.24182000000000001</v>
      </c>
      <c r="I25">
        <f t="shared" si="3"/>
        <v>0.24182000000000001</v>
      </c>
      <c r="J25">
        <f t="shared" si="3"/>
        <v>0.24182000000000001</v>
      </c>
      <c r="K25">
        <f t="shared" si="3"/>
        <v>0.24182000000000001</v>
      </c>
      <c r="L25">
        <f t="shared" si="3"/>
        <v>0.24182000000000001</v>
      </c>
      <c r="M25">
        <f t="shared" si="3"/>
        <v>0.24182000000000001</v>
      </c>
    </row>
    <row r="26" spans="2:15" x14ac:dyDescent="0.25">
      <c r="B26" t="s">
        <v>34</v>
      </c>
      <c r="C26">
        <f>C24*3</f>
        <v>0.36273</v>
      </c>
      <c r="D26">
        <f t="shared" ref="D26:M26" si="4">D24*3</f>
        <v>0.36273</v>
      </c>
      <c r="E26">
        <f t="shared" si="4"/>
        <v>0.36273</v>
      </c>
      <c r="F26">
        <f t="shared" si="4"/>
        <v>0.36273</v>
      </c>
      <c r="G26">
        <f t="shared" si="4"/>
        <v>0.36273</v>
      </c>
      <c r="H26">
        <f t="shared" si="4"/>
        <v>0.36273</v>
      </c>
      <c r="I26">
        <f t="shared" si="4"/>
        <v>0.36273</v>
      </c>
      <c r="J26">
        <f t="shared" si="4"/>
        <v>0.36273</v>
      </c>
      <c r="K26">
        <f t="shared" si="4"/>
        <v>0.36273</v>
      </c>
      <c r="L26">
        <f t="shared" si="4"/>
        <v>0.36273</v>
      </c>
      <c r="M26">
        <f t="shared" si="4"/>
        <v>0.36273</v>
      </c>
    </row>
    <row r="66" spans="20:20" x14ac:dyDescent="0.25">
      <c r="T66">
        <f>1/30711.1</f>
        <v>3.2561516845700741E-5</v>
      </c>
    </row>
  </sheetData>
  <mergeCells count="5">
    <mergeCell ref="B1:M1"/>
    <mergeCell ref="C2:M2"/>
    <mergeCell ref="N2:N3"/>
    <mergeCell ref="B2:B3"/>
    <mergeCell ref="O2:O3"/>
  </mergeCells>
  <pageMargins left="0.7" right="0.7" top="0.75" bottom="0.75" header="0.3" footer="0.3"/>
  <ignoredErrors>
    <ignoredError sqref="C18:E18 F18:J18 K18:M18"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D5E89-8FB1-48AF-B71F-7CBD4A1E3FEF}">
  <dimension ref="A2:N4"/>
  <sheetViews>
    <sheetView workbookViewId="0">
      <selection activeCell="G4" sqref="G4"/>
    </sheetView>
  </sheetViews>
  <sheetFormatPr baseColWidth="10" defaultRowHeight="15" x14ac:dyDescent="0.25"/>
  <cols>
    <col min="1" max="1" width="17.5703125" bestFit="1" customWidth="1"/>
    <col min="2" max="2" width="12" bestFit="1" customWidth="1"/>
    <col min="14" max="14" width="12" bestFit="1" customWidth="1"/>
  </cols>
  <sheetData>
    <row r="2" spans="1:14" x14ac:dyDescent="0.25">
      <c r="A2" t="s">
        <v>89</v>
      </c>
      <c r="B2">
        <v>1</v>
      </c>
      <c r="C2">
        <v>2</v>
      </c>
      <c r="D2">
        <v>3</v>
      </c>
      <c r="E2">
        <v>4</v>
      </c>
      <c r="F2">
        <v>5</v>
      </c>
      <c r="G2">
        <v>6</v>
      </c>
      <c r="H2">
        <v>7</v>
      </c>
      <c r="I2">
        <v>8</v>
      </c>
      <c r="J2">
        <v>9</v>
      </c>
      <c r="K2">
        <v>10</v>
      </c>
      <c r="N2">
        <f>1/30711.1</f>
        <v>3.2561516845700741E-5</v>
      </c>
    </row>
    <row r="3" spans="1:14" x14ac:dyDescent="0.25">
      <c r="A3" t="s">
        <v>88</v>
      </c>
      <c r="B3">
        <f>$N$2*B2</f>
        <v>3.2561516845700741E-5</v>
      </c>
      <c r="C3">
        <f t="shared" ref="C3:K3" si="0">$N$2*C2</f>
        <v>6.5123033691401482E-5</v>
      </c>
      <c r="D3">
        <f t="shared" si="0"/>
        <v>9.7684550537102216E-5</v>
      </c>
      <c r="E3">
        <f t="shared" si="0"/>
        <v>1.3024606738280296E-4</v>
      </c>
      <c r="F3">
        <f t="shared" si="0"/>
        <v>1.6280758422850371E-4</v>
      </c>
      <c r="G3">
        <f t="shared" si="0"/>
        <v>1.9536910107420443E-4</v>
      </c>
      <c r="H3">
        <f t="shared" si="0"/>
        <v>2.2793061791990518E-4</v>
      </c>
      <c r="I3">
        <f t="shared" si="0"/>
        <v>2.6049213476560593E-4</v>
      </c>
      <c r="J3">
        <f t="shared" si="0"/>
        <v>2.9305365161130668E-4</v>
      </c>
      <c r="K3">
        <f t="shared" si="0"/>
        <v>3.2561516845700742E-4</v>
      </c>
    </row>
    <row r="4" spans="1:14" x14ac:dyDescent="0.25">
      <c r="A4" t="s">
        <v>87</v>
      </c>
      <c r="B4">
        <f>B3*$N$4</f>
        <v>0.32561516845700739</v>
      </c>
      <c r="C4">
        <f t="shared" ref="C4:K4" si="1">C3*$N$4</f>
        <v>0.65123033691401477</v>
      </c>
      <c r="D4">
        <f t="shared" si="1"/>
        <v>0.9768455053710221</v>
      </c>
      <c r="E4">
        <f t="shared" si="1"/>
        <v>1.3024606738280295</v>
      </c>
      <c r="F4">
        <f t="shared" si="1"/>
        <v>1.6280758422850372</v>
      </c>
      <c r="G4">
        <f t="shared" si="1"/>
        <v>1.9536910107420442</v>
      </c>
      <c r="H4">
        <f t="shared" si="1"/>
        <v>2.2793061791990517</v>
      </c>
      <c r="I4">
        <f t="shared" si="1"/>
        <v>2.6049213476560591</v>
      </c>
      <c r="J4">
        <f t="shared" si="1"/>
        <v>2.9305365161130665</v>
      </c>
      <c r="K4">
        <f t="shared" si="1"/>
        <v>3.2561516845700744</v>
      </c>
      <c r="N4">
        <v>10000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B678-C01F-4C2E-8F99-C050EA74C9EE}">
  <dimension ref="A1:N36"/>
  <sheetViews>
    <sheetView showGridLines="0" zoomScaleNormal="100" workbookViewId="0">
      <selection activeCell="S20" sqref="S20"/>
    </sheetView>
  </sheetViews>
  <sheetFormatPr baseColWidth="10" defaultColWidth="11.42578125" defaultRowHeight="15" x14ac:dyDescent="0.25"/>
  <cols>
    <col min="1" max="1" width="19" customWidth="1"/>
    <col min="2" max="12" width="7.7109375" customWidth="1"/>
    <col min="13" max="13" width="11.5703125" customWidth="1"/>
    <col min="14" max="14" width="15.7109375" customWidth="1"/>
  </cols>
  <sheetData>
    <row r="1" spans="1:14" ht="19.5" thickBot="1" x14ac:dyDescent="0.35">
      <c r="A1" s="189" t="s">
        <v>1</v>
      </c>
      <c r="B1" s="189"/>
      <c r="C1" s="189"/>
      <c r="D1" s="189"/>
      <c r="E1" s="189"/>
      <c r="F1" s="189"/>
      <c r="G1" s="189"/>
      <c r="H1" s="189"/>
      <c r="I1" s="189"/>
      <c r="J1" s="189"/>
      <c r="K1" s="189"/>
      <c r="L1" s="189"/>
    </row>
    <row r="2" spans="1:14" ht="32.25" thickBot="1" x14ac:dyDescent="0.3">
      <c r="A2" s="162" t="s">
        <v>2</v>
      </c>
      <c r="B2" s="163">
        <v>0.5</v>
      </c>
      <c r="C2" s="163">
        <v>1</v>
      </c>
      <c r="D2" s="163">
        <v>2</v>
      </c>
      <c r="E2" s="163">
        <v>3</v>
      </c>
      <c r="F2" s="163">
        <v>4</v>
      </c>
      <c r="G2" s="163">
        <v>5</v>
      </c>
      <c r="H2" s="163">
        <v>6</v>
      </c>
      <c r="I2" s="163">
        <v>7</v>
      </c>
      <c r="J2" s="163">
        <v>8</v>
      </c>
      <c r="K2" s="163">
        <v>9</v>
      </c>
      <c r="L2" s="163">
        <v>10</v>
      </c>
      <c r="M2" s="163" t="s">
        <v>10</v>
      </c>
      <c r="N2" s="178" t="s">
        <v>11</v>
      </c>
    </row>
    <row r="3" spans="1:14" ht="30.75" thickBot="1" x14ac:dyDescent="0.3">
      <c r="A3" s="119" t="s">
        <v>94</v>
      </c>
      <c r="B3" s="120">
        <v>2.7878E-3</v>
      </c>
      <c r="C3" s="121">
        <v>6.0567999999999993E-3</v>
      </c>
      <c r="D3" s="121">
        <v>1.29228E-2</v>
      </c>
      <c r="E3" s="121">
        <v>2.2742800000000001E-2</v>
      </c>
      <c r="F3" s="121">
        <v>3.0912800000000001E-2</v>
      </c>
      <c r="G3" s="121">
        <v>3.4322800000000001E-2</v>
      </c>
      <c r="H3" s="121">
        <v>4.1312799999999997E-2</v>
      </c>
      <c r="I3" s="121">
        <v>4.83028E-2</v>
      </c>
      <c r="J3" s="121">
        <v>5.6942799999999995E-2</v>
      </c>
      <c r="K3" s="121">
        <v>6.4232800000000007E-2</v>
      </c>
      <c r="L3" s="121">
        <v>7.15528E-2</v>
      </c>
      <c r="M3" s="122" t="s">
        <v>96</v>
      </c>
      <c r="N3" s="123" t="s">
        <v>14</v>
      </c>
    </row>
    <row r="4" spans="1:14" x14ac:dyDescent="0.25">
      <c r="A4" s="124" t="s">
        <v>61</v>
      </c>
      <c r="B4" s="101">
        <v>0</v>
      </c>
      <c r="C4" s="102">
        <v>0</v>
      </c>
      <c r="D4" s="102">
        <v>0</v>
      </c>
      <c r="E4" s="102">
        <v>2.9E-5</v>
      </c>
      <c r="F4" s="102">
        <v>3.8000000000000002E-4</v>
      </c>
      <c r="G4" s="102">
        <v>4.8000000000000001E-4</v>
      </c>
      <c r="H4" s="102">
        <v>5.8E-4</v>
      </c>
      <c r="I4" s="102">
        <v>6.7000000000000002E-4</v>
      </c>
      <c r="J4" s="102">
        <v>7.6999999999999996E-4</v>
      </c>
      <c r="K4" s="102">
        <v>8.5999999999999998E-4</v>
      </c>
      <c r="L4" s="102">
        <v>9.6000000000000002E-4</v>
      </c>
      <c r="M4" s="109" t="s">
        <v>64</v>
      </c>
      <c r="N4" s="40" t="s">
        <v>14</v>
      </c>
    </row>
    <row r="5" spans="1:14" ht="30" x14ac:dyDescent="0.25">
      <c r="A5" s="113" t="s">
        <v>15</v>
      </c>
      <c r="B5" s="103">
        <v>4.999999999999999E-4</v>
      </c>
      <c r="C5" s="104">
        <v>1E-3</v>
      </c>
      <c r="D5" s="104">
        <v>2.1000000000000003E-3</v>
      </c>
      <c r="E5" s="104">
        <v>3.2000000000000002E-3</v>
      </c>
      <c r="F5" s="104">
        <v>4.3999999999999994E-3</v>
      </c>
      <c r="G5" s="104">
        <v>5.4999999999999997E-3</v>
      </c>
      <c r="H5" s="104">
        <v>6.6E-3</v>
      </c>
      <c r="I5" s="104">
        <v>7.6999999999999994E-3</v>
      </c>
      <c r="J5" s="104">
        <v>8.8000000000000005E-3</v>
      </c>
      <c r="K5" s="104">
        <v>9.9000000000000008E-3</v>
      </c>
      <c r="L5" s="104">
        <v>1.1000000000000001E-2</v>
      </c>
      <c r="M5" s="110" t="s">
        <v>18</v>
      </c>
      <c r="N5" s="41" t="s">
        <v>14</v>
      </c>
    </row>
    <row r="6" spans="1:14" x14ac:dyDescent="0.25">
      <c r="A6" s="113" t="s">
        <v>100</v>
      </c>
      <c r="B6" s="103">
        <v>8.3099999999999992E-4</v>
      </c>
      <c r="C6" s="104">
        <v>1.8809999999999999E-3</v>
      </c>
      <c r="D6" s="104">
        <v>3.9709999999999997E-3</v>
      </c>
      <c r="E6" s="104">
        <v>6.0610000000000004E-3</v>
      </c>
      <c r="F6" s="104">
        <v>8.1509999999999985E-3</v>
      </c>
      <c r="G6" s="104">
        <v>1.0190999999999999E-2</v>
      </c>
      <c r="H6" s="104">
        <v>1.2291E-2</v>
      </c>
      <c r="I6" s="104">
        <v>1.4390999999999999E-2</v>
      </c>
      <c r="J6" s="104">
        <v>1.6490999999999999E-2</v>
      </c>
      <c r="K6" s="104">
        <v>1.8591E-2</v>
      </c>
      <c r="L6" s="104">
        <v>2.0690999999999998E-2</v>
      </c>
      <c r="M6" s="110" t="s">
        <v>18</v>
      </c>
      <c r="N6" s="41" t="s">
        <v>14</v>
      </c>
    </row>
    <row r="7" spans="1:14" ht="30" x14ac:dyDescent="0.25">
      <c r="A7" s="113" t="s">
        <v>99</v>
      </c>
      <c r="B7" s="105">
        <v>1.5000000000000001E-4</v>
      </c>
      <c r="C7" s="105">
        <v>3.3E-4</v>
      </c>
      <c r="D7" s="105">
        <v>7.1000000000000002E-4</v>
      </c>
      <c r="E7" s="105">
        <v>1.0799999999999998E-3</v>
      </c>
      <c r="F7" s="105">
        <v>1.4599999999999999E-3</v>
      </c>
      <c r="G7" s="105">
        <v>1.8299999999999998E-3</v>
      </c>
      <c r="H7" s="105">
        <v>2.1999999999999997E-3</v>
      </c>
      <c r="I7" s="105">
        <v>2.5799999999999998E-3</v>
      </c>
      <c r="J7" s="105">
        <v>2.9499999999999999E-3</v>
      </c>
      <c r="K7" s="105">
        <v>3.3300000000000001E-3</v>
      </c>
      <c r="L7" s="106">
        <v>3.6999999999999997E-3</v>
      </c>
      <c r="M7" s="110" t="s">
        <v>84</v>
      </c>
      <c r="N7" s="41" t="s">
        <v>14</v>
      </c>
    </row>
    <row r="8" spans="1:14" ht="30.75" thickBot="1" x14ac:dyDescent="0.3">
      <c r="A8" s="125" t="s">
        <v>92</v>
      </c>
      <c r="B8" s="126">
        <v>3.8100000000000009E-3</v>
      </c>
      <c r="C8" s="127">
        <v>8.4100000000000008E-3</v>
      </c>
      <c r="D8" s="127">
        <v>1.6972000000000001E-2</v>
      </c>
      <c r="E8" s="127">
        <v>2.4508000000000002E-2</v>
      </c>
      <c r="F8" s="127">
        <v>3.1940000000000003E-2</v>
      </c>
      <c r="G8" s="127">
        <v>3.9620000000000002E-2</v>
      </c>
      <c r="H8" s="127">
        <v>4.7390000000000002E-2</v>
      </c>
      <c r="I8" s="127">
        <v>5.5279999999999996E-2</v>
      </c>
      <c r="J8" s="127">
        <v>6.3240000000000005E-2</v>
      </c>
      <c r="K8" s="127">
        <v>7.1529999999999996E-2</v>
      </c>
      <c r="L8" s="127">
        <v>8.1950000000000009E-2</v>
      </c>
      <c r="M8" s="128" t="s">
        <v>16</v>
      </c>
      <c r="N8" s="129" t="s">
        <v>14</v>
      </c>
    </row>
    <row r="9" spans="1:14" ht="30" x14ac:dyDescent="0.25">
      <c r="A9" s="130" t="s">
        <v>21</v>
      </c>
      <c r="B9" s="131">
        <v>2.1289999999999998E-3</v>
      </c>
      <c r="C9" s="132">
        <v>4.7789999999999994E-3</v>
      </c>
      <c r="D9" s="132">
        <v>1.0069E-2</v>
      </c>
      <c r="E9" s="132">
        <v>1.5369000000000001E-2</v>
      </c>
      <c r="F9" s="132">
        <v>2.0669E-2</v>
      </c>
      <c r="G9" s="132">
        <v>2.6068999999999998E-2</v>
      </c>
      <c r="H9" s="132">
        <v>3.1369000000000001E-2</v>
      </c>
      <c r="I9" s="132">
        <v>3.6669E-2</v>
      </c>
      <c r="J9" s="132">
        <v>4.1969000000000006E-2</v>
      </c>
      <c r="K9" s="132">
        <v>4.7269000000000005E-2</v>
      </c>
      <c r="L9" s="133">
        <v>5.2569000000000005E-2</v>
      </c>
      <c r="M9" s="134" t="s">
        <v>22</v>
      </c>
      <c r="N9" s="135" t="s">
        <v>23</v>
      </c>
    </row>
    <row r="10" spans="1:14" ht="30.75" thickBot="1" x14ac:dyDescent="0.3">
      <c r="A10" s="136" t="s">
        <v>24</v>
      </c>
      <c r="B10" s="137">
        <v>2.3670000000000002E-5</v>
      </c>
      <c r="C10" s="138">
        <v>5.8706999999999997E-4</v>
      </c>
      <c r="D10" s="138">
        <v>1.1307E-4</v>
      </c>
      <c r="E10" s="138">
        <v>1.7207E-4</v>
      </c>
      <c r="F10" s="138">
        <v>2.3107E-4</v>
      </c>
      <c r="G10" s="138">
        <v>2.9006999999999997E-4</v>
      </c>
      <c r="H10" s="138">
        <v>3.5006999999999996E-4</v>
      </c>
      <c r="I10" s="138">
        <v>4.0906999999999998E-4</v>
      </c>
      <c r="J10" s="138">
        <v>4.6806999999999996E-4</v>
      </c>
      <c r="K10" s="138">
        <v>5.2806999999999995E-4</v>
      </c>
      <c r="L10" s="139">
        <v>5.8706999999999997E-4</v>
      </c>
      <c r="M10" s="140" t="s">
        <v>22</v>
      </c>
      <c r="N10" s="141" t="s">
        <v>23</v>
      </c>
    </row>
    <row r="11" spans="1:14" ht="30" x14ac:dyDescent="0.25">
      <c r="A11" s="142" t="s">
        <v>93</v>
      </c>
      <c r="B11" s="101">
        <v>2.0400000000000001E-3</v>
      </c>
      <c r="C11" s="102">
        <v>4.6500000000000014E-3</v>
      </c>
      <c r="D11" s="102">
        <v>1.0002E-2</v>
      </c>
      <c r="E11" s="102">
        <v>1.5471E-2</v>
      </c>
      <c r="F11" s="102">
        <v>2.1101000000000002E-2</v>
      </c>
      <c r="G11" s="102">
        <v>2.6918999999999998E-2</v>
      </c>
      <c r="H11" s="102">
        <v>3.2780000000000004E-2</v>
      </c>
      <c r="I11" s="102">
        <v>3.8699999999999998E-2</v>
      </c>
      <c r="J11" s="102">
        <v>4.4609999999999997E-2</v>
      </c>
      <c r="K11" s="102">
        <v>5.058E-2</v>
      </c>
      <c r="L11" s="102">
        <v>5.663E-2</v>
      </c>
      <c r="M11" s="174" t="s">
        <v>16</v>
      </c>
      <c r="N11" s="40" t="s">
        <v>14</v>
      </c>
    </row>
    <row r="12" spans="1:14" ht="30" x14ac:dyDescent="0.25">
      <c r="A12" s="114" t="s">
        <v>101</v>
      </c>
      <c r="B12" s="103">
        <v>1.1119999999999999E-4</v>
      </c>
      <c r="C12" s="104">
        <v>2.5019999999999996E-4</v>
      </c>
      <c r="D12" s="104">
        <v>5.2819999999999994E-4</v>
      </c>
      <c r="E12" s="104">
        <v>8.0619999999999997E-4</v>
      </c>
      <c r="F12" s="104">
        <v>1.0822000000000002E-3</v>
      </c>
      <c r="G12" s="104">
        <v>1.3622E-3</v>
      </c>
      <c r="H12" s="104">
        <v>1.6422000000000001E-3</v>
      </c>
      <c r="I12" s="104">
        <v>1.9222E-3</v>
      </c>
      <c r="J12" s="104">
        <v>2.0621999999999997E-3</v>
      </c>
      <c r="K12" s="104">
        <v>2.4721999999999999E-3</v>
      </c>
      <c r="L12" s="104">
        <v>2.7521999999999998E-3</v>
      </c>
      <c r="M12" s="111" t="s">
        <v>64</v>
      </c>
      <c r="N12" s="41" t="s">
        <v>14</v>
      </c>
    </row>
    <row r="13" spans="1:14" x14ac:dyDescent="0.25">
      <c r="A13" s="114" t="s">
        <v>98</v>
      </c>
      <c r="B13" s="103">
        <v>8.3099999999999992E-4</v>
      </c>
      <c r="C13" s="104">
        <v>1.8809999999999999E-3</v>
      </c>
      <c r="D13" s="104">
        <v>3.9709999999999997E-3</v>
      </c>
      <c r="E13" s="104">
        <v>6.0610000000000004E-3</v>
      </c>
      <c r="F13" s="104">
        <v>8.1509999999999985E-3</v>
      </c>
      <c r="G13" s="104">
        <v>1.0190999999999999E-2</v>
      </c>
      <c r="H13" s="104">
        <v>1.2291E-2</v>
      </c>
      <c r="I13" s="104">
        <v>1.4390999999999999E-2</v>
      </c>
      <c r="J13" s="104">
        <v>1.6490999999999999E-2</v>
      </c>
      <c r="K13" s="104">
        <v>1.8591E-2</v>
      </c>
      <c r="L13" s="104">
        <v>2.0690999999999998E-2</v>
      </c>
      <c r="M13" s="111" t="s">
        <v>18</v>
      </c>
      <c r="N13" s="41" t="s">
        <v>14</v>
      </c>
    </row>
    <row r="14" spans="1:14" ht="30" x14ac:dyDescent="0.25">
      <c r="A14" s="114" t="s">
        <v>15</v>
      </c>
      <c r="B14" s="103">
        <v>4.999999999999999E-4</v>
      </c>
      <c r="C14" s="104">
        <v>1E-3</v>
      </c>
      <c r="D14" s="104">
        <v>2.1000000000000003E-3</v>
      </c>
      <c r="E14" s="104">
        <v>3.2000000000000002E-3</v>
      </c>
      <c r="F14" s="104">
        <v>4.3999999999999994E-3</v>
      </c>
      <c r="G14" s="104">
        <v>5.4999999999999997E-3</v>
      </c>
      <c r="H14" s="104">
        <v>6.6E-3</v>
      </c>
      <c r="I14" s="104">
        <v>7.6999999999999994E-3</v>
      </c>
      <c r="J14" s="104">
        <v>8.8000000000000005E-3</v>
      </c>
      <c r="K14" s="104">
        <v>9.9000000000000008E-3</v>
      </c>
      <c r="L14" s="104">
        <v>1.1000000000000001E-2</v>
      </c>
      <c r="M14" s="111" t="s">
        <v>18</v>
      </c>
      <c r="N14" s="41" t="s">
        <v>14</v>
      </c>
    </row>
    <row r="15" spans="1:14" ht="15.75" thickBot="1" x14ac:dyDescent="0.3">
      <c r="A15" s="143" t="s">
        <v>61</v>
      </c>
      <c r="B15" s="126">
        <v>0</v>
      </c>
      <c r="C15" s="127">
        <v>0</v>
      </c>
      <c r="D15" s="127">
        <v>0</v>
      </c>
      <c r="E15" s="127">
        <v>2.9E-5</v>
      </c>
      <c r="F15" s="127">
        <v>3.8000000000000002E-4</v>
      </c>
      <c r="G15" s="127">
        <v>4.8000000000000001E-4</v>
      </c>
      <c r="H15" s="127">
        <v>5.8E-4</v>
      </c>
      <c r="I15" s="127">
        <v>6.7000000000000002E-4</v>
      </c>
      <c r="J15" s="127">
        <v>7.6999999999999996E-4</v>
      </c>
      <c r="K15" s="127">
        <v>8.5999999999999998E-4</v>
      </c>
      <c r="L15" s="127">
        <v>9.6000000000000002E-4</v>
      </c>
      <c r="M15" s="175" t="s">
        <v>64</v>
      </c>
      <c r="N15" s="129" t="s">
        <v>14</v>
      </c>
    </row>
    <row r="16" spans="1:14" ht="30.75" thickBot="1" x14ac:dyDescent="0.3">
      <c r="A16" s="149" t="s">
        <v>95</v>
      </c>
      <c r="B16" s="120">
        <v>2.7878E-3</v>
      </c>
      <c r="C16" s="121">
        <v>6.0567999999999993E-3</v>
      </c>
      <c r="D16" s="121">
        <v>1.29228E-2</v>
      </c>
      <c r="E16" s="121">
        <v>2.2742800000000001E-2</v>
      </c>
      <c r="F16" s="121">
        <v>3.0912800000000001E-2</v>
      </c>
      <c r="G16" s="121">
        <v>3.4322800000000001E-2</v>
      </c>
      <c r="H16" s="121">
        <v>4.1312799999999997E-2</v>
      </c>
      <c r="I16" s="121">
        <v>4.83028E-2</v>
      </c>
      <c r="J16" s="121">
        <v>5.6942799999999995E-2</v>
      </c>
      <c r="K16" s="121">
        <v>6.4232800000000007E-2</v>
      </c>
      <c r="L16" s="121">
        <v>7.15528E-2</v>
      </c>
      <c r="M16" s="176" t="s">
        <v>97</v>
      </c>
      <c r="N16" s="177" t="s">
        <v>14</v>
      </c>
    </row>
    <row r="17" spans="1:14" ht="45.75" thickBot="1" x14ac:dyDescent="0.3">
      <c r="A17" s="144" t="s">
        <v>112</v>
      </c>
      <c r="B17" s="145">
        <f>SUM(B3:B16)</f>
        <v>1.6501470000000001E-2</v>
      </c>
      <c r="C17" s="146">
        <f t="shared" ref="C17:L17" si="0">SUM(C3:C16)</f>
        <v>3.6881869999999997E-2</v>
      </c>
      <c r="D17" s="146">
        <f t="shared" si="0"/>
        <v>7.6381869999999991E-2</v>
      </c>
      <c r="E17" s="146">
        <f t="shared" si="0"/>
        <v>0.12147186999999998</v>
      </c>
      <c r="F17" s="146">
        <f t="shared" si="0"/>
        <v>0.16417086999999997</v>
      </c>
      <c r="G17" s="146">
        <f t="shared" si="0"/>
        <v>0.19707786999999999</v>
      </c>
      <c r="H17" s="146">
        <f t="shared" si="0"/>
        <v>0.23729887</v>
      </c>
      <c r="I17" s="146">
        <f t="shared" si="0"/>
        <v>0.27768787</v>
      </c>
      <c r="J17" s="146">
        <f t="shared" si="0"/>
        <v>0.32130686999999997</v>
      </c>
      <c r="K17" s="146">
        <f t="shared" si="0"/>
        <v>0.36287687000000002</v>
      </c>
      <c r="L17" s="146">
        <f t="shared" si="0"/>
        <v>0.40659587000000008</v>
      </c>
      <c r="M17" s="147"/>
      <c r="N17" s="148"/>
    </row>
    <row r="18" spans="1:14" ht="30.75" thickBot="1" x14ac:dyDescent="0.3">
      <c r="A18" s="150" t="s">
        <v>28</v>
      </c>
      <c r="B18" s="120">
        <v>1.1033000000000001E-2</v>
      </c>
      <c r="C18" s="121">
        <v>2.4813000000000002E-2</v>
      </c>
      <c r="D18" s="121">
        <v>5.2392999999999995E-2</v>
      </c>
      <c r="E18" s="121">
        <v>7.9963000000000006E-2</v>
      </c>
      <c r="F18" s="121">
        <v>0.107543</v>
      </c>
      <c r="G18" s="121">
        <v>0.13514299999999999</v>
      </c>
      <c r="H18" s="121">
        <v>0.16264299999999998</v>
      </c>
      <c r="I18" s="121">
        <v>0.190243</v>
      </c>
      <c r="J18" s="121">
        <v>0.21784299999999998</v>
      </c>
      <c r="K18" s="121">
        <v>0.24544299999999999</v>
      </c>
      <c r="L18" s="121">
        <v>0.27294299999999999</v>
      </c>
      <c r="M18" s="151" t="s">
        <v>85</v>
      </c>
      <c r="N18" s="123" t="s">
        <v>14</v>
      </c>
    </row>
    <row r="19" spans="1:14" ht="15.75" thickBot="1" x14ac:dyDescent="0.3">
      <c r="A19" s="152" t="s">
        <v>102</v>
      </c>
      <c r="B19" s="153">
        <v>2.9999999999999997E-4</v>
      </c>
      <c r="C19" s="154">
        <v>5.9999999999999995E-4</v>
      </c>
      <c r="D19" s="154">
        <v>1.2999999999999999E-3</v>
      </c>
      <c r="E19" s="154">
        <v>1.9E-3</v>
      </c>
      <c r="F19" s="154">
        <v>2.5000000000000001E-3</v>
      </c>
      <c r="G19" s="154">
        <v>3.2000000000000002E-3</v>
      </c>
      <c r="H19" s="154">
        <v>3.8E-3</v>
      </c>
      <c r="I19" s="154">
        <v>4.4000000000000003E-3</v>
      </c>
      <c r="J19" s="154">
        <v>5.1000000000000004E-3</v>
      </c>
      <c r="K19" s="154">
        <v>5.7000000000000002E-3</v>
      </c>
      <c r="L19" s="154">
        <v>6.4000000000000003E-3</v>
      </c>
      <c r="M19" s="155" t="s">
        <v>18</v>
      </c>
      <c r="N19" s="156" t="s">
        <v>14</v>
      </c>
    </row>
    <row r="20" spans="1:14" ht="30" x14ac:dyDescent="0.25">
      <c r="A20" s="157" t="s">
        <v>113</v>
      </c>
      <c r="B20" s="158">
        <f>B17+B18+B19</f>
        <v>2.7834470000000004E-2</v>
      </c>
      <c r="C20" s="159">
        <f t="shared" ref="C20:J20" si="1">C17+C18+C19</f>
        <v>6.2294870000000002E-2</v>
      </c>
      <c r="D20" s="159">
        <f t="shared" si="1"/>
        <v>0.13007486999999998</v>
      </c>
      <c r="E20" s="159">
        <f t="shared" si="1"/>
        <v>0.20333487</v>
      </c>
      <c r="F20" s="159">
        <f t="shared" si="1"/>
        <v>0.27421386999999997</v>
      </c>
      <c r="G20" s="159">
        <f t="shared" si="1"/>
        <v>0.33542086999999998</v>
      </c>
      <c r="H20" s="159">
        <f t="shared" si="1"/>
        <v>0.40374187</v>
      </c>
      <c r="I20" s="159">
        <f t="shared" si="1"/>
        <v>0.47233087000000001</v>
      </c>
      <c r="J20" s="159">
        <f t="shared" si="1"/>
        <v>0.54424986999999991</v>
      </c>
      <c r="K20" s="159">
        <f>K17+K18+K19</f>
        <v>0.61401987000000002</v>
      </c>
      <c r="L20" s="159">
        <f>L17+L18+L19</f>
        <v>0.68593886999999998</v>
      </c>
      <c r="M20" s="160"/>
      <c r="N20" s="161" t="s">
        <v>42</v>
      </c>
    </row>
    <row r="21" spans="1:14" ht="30.75" thickBot="1" x14ac:dyDescent="0.3">
      <c r="A21" s="115" t="s">
        <v>47</v>
      </c>
      <c r="B21" s="107">
        <f>B20/4*360</f>
        <v>2.5051023000000003</v>
      </c>
      <c r="C21" s="108">
        <f t="shared" ref="C21:L21" si="2">C20/4*360</f>
        <v>5.6065383000000004</v>
      </c>
      <c r="D21" s="108">
        <f t="shared" si="2"/>
        <v>11.706738299999998</v>
      </c>
      <c r="E21" s="108">
        <f t="shared" si="2"/>
        <v>18.3001383</v>
      </c>
      <c r="F21" s="108">
        <f t="shared" si="2"/>
        <v>24.679248299999998</v>
      </c>
      <c r="G21" s="108">
        <f t="shared" si="2"/>
        <v>30.187878299999998</v>
      </c>
      <c r="H21" s="108">
        <f t="shared" si="2"/>
        <v>36.336768300000003</v>
      </c>
      <c r="I21" s="108">
        <f t="shared" si="2"/>
        <v>42.509778300000001</v>
      </c>
      <c r="J21" s="108">
        <f t="shared" si="2"/>
        <v>48.982488299999993</v>
      </c>
      <c r="K21" s="108">
        <f t="shared" si="2"/>
        <v>55.261788299999999</v>
      </c>
      <c r="L21" s="108">
        <f t="shared" si="2"/>
        <v>61.734498299999998</v>
      </c>
      <c r="M21" s="42"/>
      <c r="N21" s="112" t="s">
        <v>48</v>
      </c>
    </row>
    <row r="22" spans="1:14" x14ac:dyDescent="0.25">
      <c r="A22" s="16"/>
      <c r="B22" s="17"/>
      <c r="C22" s="17"/>
      <c r="D22" s="17"/>
      <c r="E22" s="17"/>
      <c r="F22" s="17"/>
      <c r="G22" s="17"/>
      <c r="H22" s="17"/>
      <c r="I22" s="17"/>
      <c r="J22" s="17"/>
      <c r="K22" s="17"/>
      <c r="L22" s="17"/>
      <c r="M22" s="18"/>
      <c r="N22" s="18"/>
    </row>
    <row r="23" spans="1:14" ht="19.5" thickBot="1" x14ac:dyDescent="0.35">
      <c r="A23" s="190" t="s">
        <v>60</v>
      </c>
      <c r="B23" s="191"/>
      <c r="C23" s="191"/>
      <c r="D23" s="191"/>
      <c r="E23" s="191"/>
      <c r="F23" s="191"/>
      <c r="G23" s="191"/>
      <c r="H23" s="191"/>
      <c r="I23" s="191"/>
      <c r="J23" s="191"/>
      <c r="K23" s="191"/>
      <c r="L23" s="192"/>
      <c r="M23" s="15" t="s">
        <v>36</v>
      </c>
      <c r="N23" s="15"/>
    </row>
    <row r="24" spans="1:14" ht="31.5" x14ac:dyDescent="0.25">
      <c r="A24" s="168" t="s">
        <v>2</v>
      </c>
      <c r="B24" s="163">
        <v>0.5</v>
      </c>
      <c r="C24" s="163">
        <v>1</v>
      </c>
      <c r="D24" s="163">
        <v>2</v>
      </c>
      <c r="E24" s="163">
        <v>3</v>
      </c>
      <c r="F24" s="163">
        <v>4</v>
      </c>
      <c r="G24" s="163">
        <v>5</v>
      </c>
      <c r="H24" s="163">
        <v>6</v>
      </c>
      <c r="I24" s="163">
        <v>7</v>
      </c>
      <c r="J24" s="163">
        <v>8</v>
      </c>
      <c r="K24" s="163">
        <v>9</v>
      </c>
      <c r="L24" s="163">
        <v>10</v>
      </c>
      <c r="M24" s="15"/>
      <c r="N24" s="15"/>
    </row>
    <row r="25" spans="1:14" ht="30" x14ac:dyDescent="0.25">
      <c r="A25" s="169" t="s">
        <v>103</v>
      </c>
      <c r="B25" s="164">
        <f t="shared" ref="B25:L25" si="3">B9+B10</f>
        <v>2.1526699999999998E-3</v>
      </c>
      <c r="C25" s="164">
        <f t="shared" si="3"/>
        <v>5.3660699999999997E-3</v>
      </c>
      <c r="D25" s="164">
        <f t="shared" si="3"/>
        <v>1.018207E-2</v>
      </c>
      <c r="E25" s="164">
        <f t="shared" si="3"/>
        <v>1.5541070000000001E-2</v>
      </c>
      <c r="F25" s="164">
        <f t="shared" si="3"/>
        <v>2.090007E-2</v>
      </c>
      <c r="G25" s="164">
        <f t="shared" si="3"/>
        <v>2.6359069999999998E-2</v>
      </c>
      <c r="H25" s="164">
        <f t="shared" si="3"/>
        <v>3.1719070000000002E-2</v>
      </c>
      <c r="I25" s="164">
        <f t="shared" si="3"/>
        <v>3.7078069999999998E-2</v>
      </c>
      <c r="J25" s="164">
        <f t="shared" si="3"/>
        <v>4.2437070000000007E-2</v>
      </c>
      <c r="K25" s="164">
        <f>K9+K10</f>
        <v>4.7797070000000004E-2</v>
      </c>
      <c r="L25" s="164">
        <f t="shared" si="3"/>
        <v>5.3156070000000007E-2</v>
      </c>
      <c r="M25" s="19" t="s">
        <v>37</v>
      </c>
    </row>
    <row r="26" spans="1:14" ht="30" x14ac:dyDescent="0.25">
      <c r="A26" s="170" t="s">
        <v>108</v>
      </c>
      <c r="B26" s="165">
        <f>B20-B25</f>
        <v>2.5681800000000005E-2</v>
      </c>
      <c r="C26" s="165">
        <f t="shared" ref="C26:J26" si="4">C20-C25</f>
        <v>5.6928800000000002E-2</v>
      </c>
      <c r="D26" s="165">
        <f>D20-D25</f>
        <v>0.11989279999999998</v>
      </c>
      <c r="E26" s="165">
        <f t="shared" si="4"/>
        <v>0.18779380000000001</v>
      </c>
      <c r="F26" s="165">
        <f t="shared" si="4"/>
        <v>0.25331379999999998</v>
      </c>
      <c r="G26" s="165">
        <f t="shared" si="4"/>
        <v>0.3090618</v>
      </c>
      <c r="H26" s="165">
        <f t="shared" si="4"/>
        <v>0.37202279999999999</v>
      </c>
      <c r="I26" s="165">
        <f t="shared" si="4"/>
        <v>0.4352528</v>
      </c>
      <c r="J26" s="165">
        <f t="shared" si="4"/>
        <v>0.50181279999999995</v>
      </c>
      <c r="K26" s="165">
        <f>K20-K25</f>
        <v>0.56622280000000003</v>
      </c>
      <c r="L26" s="165">
        <f>L20-L25</f>
        <v>0.63278279999999998</v>
      </c>
      <c r="M26" s="20" t="s">
        <v>38</v>
      </c>
    </row>
    <row r="27" spans="1:14" ht="30" x14ac:dyDescent="0.25">
      <c r="A27" s="171" t="s">
        <v>104</v>
      </c>
      <c r="B27" s="164">
        <f>B11+B12+B13+B14+B15</f>
        <v>3.4822E-3</v>
      </c>
      <c r="C27" s="164">
        <f t="shared" ref="C27:L27" si="5">C11+C12+C13+C14+C15</f>
        <v>7.7812000000000011E-3</v>
      </c>
      <c r="D27" s="164">
        <f t="shared" si="5"/>
        <v>1.66012E-2</v>
      </c>
      <c r="E27" s="164">
        <f t="shared" si="5"/>
        <v>2.5567200000000002E-2</v>
      </c>
      <c r="F27" s="164">
        <f t="shared" si="5"/>
        <v>3.5114199999999998E-2</v>
      </c>
      <c r="G27" s="164">
        <f t="shared" si="5"/>
        <v>4.4452199999999997E-2</v>
      </c>
      <c r="H27" s="164">
        <f t="shared" si="5"/>
        <v>5.3893200000000009E-2</v>
      </c>
      <c r="I27" s="164">
        <f t="shared" si="5"/>
        <v>6.3383200000000001E-2</v>
      </c>
      <c r="J27" s="164">
        <f t="shared" si="5"/>
        <v>7.2733200000000012E-2</v>
      </c>
      <c r="K27" s="164">
        <f t="shared" si="5"/>
        <v>8.240320000000001E-2</v>
      </c>
      <c r="L27" s="164">
        <f t="shared" si="5"/>
        <v>9.2033199999999996E-2</v>
      </c>
      <c r="M27" t="s">
        <v>43</v>
      </c>
    </row>
    <row r="28" spans="1:14" ht="30" x14ac:dyDescent="0.25">
      <c r="A28" s="170" t="s">
        <v>109</v>
      </c>
      <c r="B28" s="166">
        <f>B27</f>
        <v>3.4822E-3</v>
      </c>
      <c r="C28" s="166">
        <f t="shared" ref="C28:L28" si="6">C27</f>
        <v>7.7812000000000011E-3</v>
      </c>
      <c r="D28" s="165">
        <f t="shared" si="6"/>
        <v>1.66012E-2</v>
      </c>
      <c r="E28" s="165">
        <f t="shared" si="6"/>
        <v>2.5567200000000002E-2</v>
      </c>
      <c r="F28" s="165">
        <f t="shared" si="6"/>
        <v>3.5114199999999998E-2</v>
      </c>
      <c r="G28" s="165">
        <f t="shared" si="6"/>
        <v>4.4452199999999997E-2</v>
      </c>
      <c r="H28" s="165">
        <f t="shared" si="6"/>
        <v>5.3893200000000009E-2</v>
      </c>
      <c r="I28" s="165">
        <f t="shared" si="6"/>
        <v>6.3383200000000001E-2</v>
      </c>
      <c r="J28" s="165">
        <f t="shared" si="6"/>
        <v>7.2733200000000012E-2</v>
      </c>
      <c r="K28" s="165">
        <f t="shared" si="6"/>
        <v>8.240320000000001E-2</v>
      </c>
      <c r="L28" s="165">
        <f t="shared" si="6"/>
        <v>9.2033199999999996E-2</v>
      </c>
      <c r="M28" t="s">
        <v>39</v>
      </c>
    </row>
    <row r="29" spans="1:14" ht="30" x14ac:dyDescent="0.25">
      <c r="A29" s="172" t="s">
        <v>105</v>
      </c>
      <c r="B29" s="164">
        <f>B4+B5+B6+B7+B8</f>
        <v>5.2910000000000006E-3</v>
      </c>
      <c r="C29" s="164">
        <f t="shared" ref="C29:L29" si="7">C4+C5+C6+C7+C8</f>
        <v>1.1621000000000001E-2</v>
      </c>
      <c r="D29" s="164">
        <f t="shared" si="7"/>
        <v>2.3753E-2</v>
      </c>
      <c r="E29" s="164">
        <f t="shared" si="7"/>
        <v>3.4877999999999999E-2</v>
      </c>
      <c r="F29" s="164">
        <f t="shared" si="7"/>
        <v>4.6330999999999997E-2</v>
      </c>
      <c r="G29" s="164">
        <f t="shared" si="7"/>
        <v>5.7620999999999999E-2</v>
      </c>
      <c r="H29" s="164">
        <f>H4+H5+H6+H7+H8</f>
        <v>6.9060999999999997E-2</v>
      </c>
      <c r="I29" s="164">
        <f t="shared" si="7"/>
        <v>8.0620999999999998E-2</v>
      </c>
      <c r="J29" s="164">
        <f t="shared" si="7"/>
        <v>9.2251E-2</v>
      </c>
      <c r="K29" s="164">
        <f t="shared" si="7"/>
        <v>0.104211</v>
      </c>
      <c r="L29" s="164">
        <f t="shared" si="7"/>
        <v>0.11830100000000002</v>
      </c>
      <c r="M29" t="s">
        <v>44</v>
      </c>
    </row>
    <row r="30" spans="1:14" ht="30" x14ac:dyDescent="0.25">
      <c r="A30" s="170" t="s">
        <v>110</v>
      </c>
      <c r="B30" s="167">
        <f>B29</f>
        <v>5.2910000000000006E-3</v>
      </c>
      <c r="C30" s="165">
        <f t="shared" ref="C30:L30" si="8">C29</f>
        <v>1.1621000000000001E-2</v>
      </c>
      <c r="D30" s="165">
        <f t="shared" si="8"/>
        <v>2.3753E-2</v>
      </c>
      <c r="E30" s="165">
        <f t="shared" si="8"/>
        <v>3.4877999999999999E-2</v>
      </c>
      <c r="F30" s="165">
        <f t="shared" si="8"/>
        <v>4.6330999999999997E-2</v>
      </c>
      <c r="G30" s="165">
        <f t="shared" si="8"/>
        <v>5.7620999999999999E-2</v>
      </c>
      <c r="H30" s="165">
        <f t="shared" si="8"/>
        <v>6.9060999999999997E-2</v>
      </c>
      <c r="I30" s="165">
        <f t="shared" si="8"/>
        <v>8.0620999999999998E-2</v>
      </c>
      <c r="J30" s="165">
        <f t="shared" si="8"/>
        <v>9.2251E-2</v>
      </c>
      <c r="K30" s="165">
        <f t="shared" si="8"/>
        <v>0.104211</v>
      </c>
      <c r="L30" s="165">
        <f t="shared" si="8"/>
        <v>0.11830100000000002</v>
      </c>
      <c r="M30" s="20" t="s">
        <v>45</v>
      </c>
    </row>
    <row r="31" spans="1:14" ht="30" customHeight="1" x14ac:dyDescent="0.25">
      <c r="A31" s="173" t="s">
        <v>106</v>
      </c>
      <c r="B31" s="164">
        <f t="shared" ref="B31:L31" si="9">B3</f>
        <v>2.7878E-3</v>
      </c>
      <c r="C31" s="164">
        <f t="shared" si="9"/>
        <v>6.0567999999999993E-3</v>
      </c>
      <c r="D31" s="164">
        <f t="shared" si="9"/>
        <v>1.29228E-2</v>
      </c>
      <c r="E31" s="164">
        <f t="shared" si="9"/>
        <v>2.2742800000000001E-2</v>
      </c>
      <c r="F31" s="164">
        <f t="shared" si="9"/>
        <v>3.0912800000000001E-2</v>
      </c>
      <c r="G31" s="164">
        <f t="shared" si="9"/>
        <v>3.4322800000000001E-2</v>
      </c>
      <c r="H31" s="164">
        <f t="shared" si="9"/>
        <v>4.1312799999999997E-2</v>
      </c>
      <c r="I31" s="164">
        <f t="shared" si="9"/>
        <v>4.83028E-2</v>
      </c>
      <c r="J31" s="164">
        <f t="shared" si="9"/>
        <v>5.6942799999999995E-2</v>
      </c>
      <c r="K31" s="164">
        <f t="shared" si="9"/>
        <v>6.4232800000000007E-2</v>
      </c>
      <c r="L31" s="164">
        <f t="shared" si="9"/>
        <v>7.15528E-2</v>
      </c>
      <c r="M31" t="s">
        <v>40</v>
      </c>
    </row>
    <row r="32" spans="1:14" ht="30" x14ac:dyDescent="0.25">
      <c r="A32" s="173" t="s">
        <v>107</v>
      </c>
      <c r="B32" s="164">
        <f t="shared" ref="B32:L32" si="10">B16</f>
        <v>2.7878E-3</v>
      </c>
      <c r="C32" s="164">
        <f t="shared" si="10"/>
        <v>6.0567999999999993E-3</v>
      </c>
      <c r="D32" s="164">
        <f t="shared" si="10"/>
        <v>1.29228E-2</v>
      </c>
      <c r="E32" s="164">
        <f t="shared" si="10"/>
        <v>2.2742800000000001E-2</v>
      </c>
      <c r="F32" s="164">
        <f t="shared" si="10"/>
        <v>3.0912800000000001E-2</v>
      </c>
      <c r="G32" s="164">
        <f t="shared" si="10"/>
        <v>3.4322800000000001E-2</v>
      </c>
      <c r="H32" s="164">
        <f t="shared" si="10"/>
        <v>4.1312799999999997E-2</v>
      </c>
      <c r="I32" s="164">
        <f t="shared" si="10"/>
        <v>4.83028E-2</v>
      </c>
      <c r="J32" s="164">
        <f t="shared" si="10"/>
        <v>5.6942799999999995E-2</v>
      </c>
      <c r="K32" s="164">
        <f t="shared" si="10"/>
        <v>6.4232800000000007E-2</v>
      </c>
      <c r="L32" s="164">
        <f t="shared" si="10"/>
        <v>7.15528E-2</v>
      </c>
      <c r="M32" t="s">
        <v>41</v>
      </c>
    </row>
    <row r="33" spans="1:13" ht="30" x14ac:dyDescent="0.25">
      <c r="A33" s="170" t="s">
        <v>111</v>
      </c>
      <c r="B33" s="167">
        <f>B32+B29</f>
        <v>8.0788000000000006E-3</v>
      </c>
      <c r="C33" s="165">
        <f t="shared" ref="C33:L33" si="11">C32+C29</f>
        <v>1.76778E-2</v>
      </c>
      <c r="D33" s="165">
        <f t="shared" si="11"/>
        <v>3.6675800000000001E-2</v>
      </c>
      <c r="E33" s="165">
        <f t="shared" si="11"/>
        <v>5.76208E-2</v>
      </c>
      <c r="F33" s="165">
        <f t="shared" si="11"/>
        <v>7.7243800000000001E-2</v>
      </c>
      <c r="G33" s="165">
        <f t="shared" si="11"/>
        <v>9.1943799999999992E-2</v>
      </c>
      <c r="H33" s="165">
        <f t="shared" si="11"/>
        <v>0.11037379999999999</v>
      </c>
      <c r="I33" s="165">
        <f t="shared" si="11"/>
        <v>0.12892380000000001</v>
      </c>
      <c r="J33" s="165">
        <f t="shared" si="11"/>
        <v>0.14919379999999999</v>
      </c>
      <c r="K33" s="165">
        <f t="shared" si="11"/>
        <v>0.1684438</v>
      </c>
      <c r="L33" s="165">
        <f t="shared" si="11"/>
        <v>0.18985380000000002</v>
      </c>
      <c r="M33" s="20" t="s">
        <v>46</v>
      </c>
    </row>
    <row r="34" spans="1:13" ht="45" x14ac:dyDescent="0.25">
      <c r="A34" s="118" t="s">
        <v>114</v>
      </c>
      <c r="B34" s="116">
        <f>B27+B29+B31+B32</f>
        <v>1.43488E-2</v>
      </c>
      <c r="C34" s="116">
        <f t="shared" ref="C34:L34" si="12">C27+C29+C31+C32</f>
        <v>3.1515800000000004E-2</v>
      </c>
      <c r="D34" s="116">
        <f t="shared" si="12"/>
        <v>6.6199800000000003E-2</v>
      </c>
      <c r="E34" s="116">
        <f t="shared" si="12"/>
        <v>0.10593080000000002</v>
      </c>
      <c r="F34" s="116">
        <f t="shared" si="12"/>
        <v>0.1432708</v>
      </c>
      <c r="G34" s="116">
        <f t="shared" si="12"/>
        <v>0.1707188</v>
      </c>
      <c r="H34" s="116">
        <f t="shared" si="12"/>
        <v>0.20557979999999998</v>
      </c>
      <c r="I34" s="116">
        <f t="shared" si="12"/>
        <v>0.24060980000000001</v>
      </c>
      <c r="J34" s="116">
        <f t="shared" si="12"/>
        <v>0.2788698</v>
      </c>
      <c r="K34" s="116">
        <f t="shared" si="12"/>
        <v>0.31507980000000002</v>
      </c>
      <c r="L34" s="117">
        <f t="shared" si="12"/>
        <v>0.35343979999999997</v>
      </c>
    </row>
    <row r="35" spans="1:13" x14ac:dyDescent="0.25">
      <c r="M35" s="21" t="s">
        <v>49</v>
      </c>
    </row>
    <row r="36" spans="1:13" x14ac:dyDescent="0.25">
      <c r="A36" t="s">
        <v>59</v>
      </c>
      <c r="B36">
        <v>0.01</v>
      </c>
      <c r="C36">
        <v>0.01</v>
      </c>
      <c r="D36">
        <v>0.01</v>
      </c>
      <c r="E36">
        <v>0.01</v>
      </c>
      <c r="F36">
        <v>0.01</v>
      </c>
      <c r="G36">
        <v>0.01</v>
      </c>
      <c r="H36">
        <v>0.01</v>
      </c>
      <c r="I36">
        <v>0.01</v>
      </c>
      <c r="J36">
        <v>0.01</v>
      </c>
      <c r="K36">
        <v>0.01</v>
      </c>
      <c r="L36">
        <v>0.01</v>
      </c>
    </row>
  </sheetData>
  <mergeCells count="2">
    <mergeCell ref="A1:L1"/>
    <mergeCell ref="A23:L23"/>
  </mergeCells>
  <pageMargins left="0.7" right="0.7" top="0.75" bottom="0.75" header="0.3" footer="0.3"/>
  <pageSetup orientation="portrait" horizontalDpi="360" verticalDpi="360" r:id="rId1"/>
  <ignoredErrors>
    <ignoredError sqref="L17 B17:K17" formulaRange="1"/>
    <ignoredError sqref="B29:D29 E29:L29"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pretension en pernos</vt:lpstr>
      <vt:lpstr>mordaza sin cuñas</vt:lpstr>
      <vt:lpstr>mordaza con cuñas</vt:lpstr>
      <vt:lpstr>pasador mordaza</vt:lpstr>
      <vt:lpstr>Perno union mordaza</vt:lpstr>
      <vt:lpstr>Pasador rotula inf</vt:lpstr>
      <vt:lpstr>rotula</vt:lpstr>
      <vt:lpstr>Travezaño fijo</vt:lpstr>
      <vt:lpstr>Tornillo</vt:lpstr>
      <vt:lpstr>Tuerca</vt:lpstr>
      <vt:lpstr>Travezaño movil</vt:lpstr>
      <vt:lpstr>Pasador rotula sup</vt:lpstr>
      <vt:lpstr>celda de carga</vt:lpstr>
      <vt:lpstr>probeta ensayo</vt:lpstr>
      <vt:lpstr>sumatoria de desp con cuñas</vt:lpstr>
      <vt:lpstr>sumatoria de desplazamiento</vt:lpstr>
      <vt:lpstr>e elastica maq</vt:lpstr>
      <vt:lpstr>sum de desp comparadores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Victor Saavedra Ravier</dc:creator>
  <cp:keywords/>
  <dc:description/>
  <cp:lastModifiedBy>Diego Saavedra</cp:lastModifiedBy>
  <cp:revision/>
  <dcterms:created xsi:type="dcterms:W3CDTF">2015-06-05T18:19:34Z</dcterms:created>
  <dcterms:modified xsi:type="dcterms:W3CDTF">2025-12-13T15:50:36Z</dcterms:modified>
  <cp:category/>
  <cp:contentStatus/>
</cp:coreProperties>
</file>