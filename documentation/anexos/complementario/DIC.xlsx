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ce65fe04daea0b/Documentos/Proyecto Final 2022/Maquina de Traccion/calculos/git/"/>
    </mc:Choice>
  </mc:AlternateContent>
  <xr:revisionPtr revIDLastSave="79" documentId="11_AD4D2F04E46CFB4ACB3E20AC1554FD0C693EDF1E" xr6:coauthVersionLast="47" xr6:coauthVersionMax="47" xr10:uidLastSave="{017604EB-084E-4F87-AC16-47D289C84C6E}"/>
  <bookViews>
    <workbookView xWindow="14400" yWindow="8235" windowWidth="43200" windowHeight="23445" xr2:uid="{00000000-000D-0000-FFFF-FFFF00000000}"/>
  </bookViews>
  <sheets>
    <sheet name="calculo 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1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5" i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<sst xmlns="http://schemas.openxmlformats.org/spreadsheetml/2006/main" count="7" uniqueCount="7">
  <si>
    <t>% Deformacion</t>
  </si>
  <si>
    <t>strain</t>
  </si>
  <si>
    <t>0,25% strain</t>
  </si>
  <si>
    <t>en 50mm</t>
  </si>
  <si>
    <t>MP requeridos</t>
  </si>
  <si>
    <t>Pixeles requeridos largo</t>
  </si>
  <si>
    <t>Pixeles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</si>
</sst>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/>
  </sheetViews>
  <sheetFormatPr baseColWidth="10" defaultColWidth="9.140625" defaultRowHeight="15" x14ac:dyDescent="0.25"/>
  <cols>
    <col min="1" max="1" width="14.42578125" bestFit="1" customWidth="1"/>
    <col min="2" max="2" width="14.42578125" customWidth="1"/>
    <col min="3" max="4" width="11.5703125" bestFit="1" customWidth="1"/>
    <col min="6" max="6" width="22.7109375" bestFit="1" customWidth="1"/>
    <col min="7" max="8" width="14" bestFit="1" customWidth="1"/>
  </cols>
  <sheetData>
    <row r="1" spans="1:8" x14ac:dyDescent="0.25">
      <c r="A1" t="s">
        <v>0</v>
      </c>
      <c r="B1" t="s">
        <v>1</v>
      </c>
      <c r="D1" t="s">
        <v>2</v>
      </c>
      <c r="E1" s="1" t="s">
        <v>3</v>
      </c>
      <c r="F1" s="1" t="s">
        <v>5</v>
      </c>
      <c r="G1" s="1" t="s">
        <v>6</v>
      </c>
      <c r="H1" s="1" t="s">
        <v>4</v>
      </c>
    </row>
    <row r="2" spans="1:8" x14ac:dyDescent="0.25">
      <c r="A2">
        <v>1</v>
      </c>
      <c r="B2">
        <f>A2/100</f>
        <v>0.01</v>
      </c>
      <c r="C2">
        <f>0.25/100</f>
        <v>2.5000000000000001E-3</v>
      </c>
      <c r="D2">
        <f>B2*C2</f>
        <v>2.5000000000000001E-5</v>
      </c>
      <c r="E2" s="1">
        <f>D2*50</f>
        <v>1.25E-3</v>
      </c>
      <c r="F2" s="1"/>
      <c r="G2" s="1"/>
      <c r="H2" s="1"/>
    </row>
    <row r="3" spans="1:8" x14ac:dyDescent="0.25">
      <c r="A3">
        <v>2</v>
      </c>
      <c r="B3">
        <f t="shared" ref="B3:B21" si="0">A3/100</f>
        <v>0.02</v>
      </c>
      <c r="C3">
        <f t="shared" ref="C3:C21" si="1">0.25/100</f>
        <v>2.5000000000000001E-3</v>
      </c>
      <c r="D3">
        <f t="shared" ref="D3:D21" si="2">B3*C3</f>
        <v>5.0000000000000002E-5</v>
      </c>
      <c r="E3" s="1">
        <f t="shared" ref="E3:E21" si="3">D3*50</f>
        <v>2.5000000000000001E-3</v>
      </c>
      <c r="F3" s="1"/>
      <c r="G3" s="1"/>
      <c r="H3" s="1"/>
    </row>
    <row r="4" spans="1:8" x14ac:dyDescent="0.25">
      <c r="A4">
        <v>3</v>
      </c>
      <c r="B4">
        <f t="shared" si="0"/>
        <v>0.03</v>
      </c>
      <c r="C4">
        <f t="shared" si="1"/>
        <v>2.5000000000000001E-3</v>
      </c>
      <c r="D4">
        <f t="shared" si="2"/>
        <v>7.4999999999999993E-5</v>
      </c>
      <c r="E4" s="1">
        <f t="shared" si="3"/>
        <v>3.7499999999999999E-3</v>
      </c>
      <c r="F4" s="1"/>
      <c r="G4" s="1"/>
      <c r="H4" s="1"/>
    </row>
    <row r="5" spans="1:8" x14ac:dyDescent="0.25">
      <c r="A5">
        <v>4</v>
      </c>
      <c r="B5">
        <f t="shared" si="0"/>
        <v>0.04</v>
      </c>
      <c r="C5">
        <f t="shared" si="1"/>
        <v>2.5000000000000001E-3</v>
      </c>
      <c r="D5">
        <f t="shared" si="2"/>
        <v>1E-4</v>
      </c>
      <c r="E5" s="1">
        <f>D5*50</f>
        <v>5.0000000000000001E-3</v>
      </c>
      <c r="F5" s="4">
        <f>50/E5</f>
        <v>10000</v>
      </c>
      <c r="G5" s="4">
        <f>F5/1.3333</f>
        <v>7500.1875046876175</v>
      </c>
      <c r="H5" s="5">
        <f>F5*G5/1000000</f>
        <v>75.001875046876179</v>
      </c>
    </row>
    <row r="6" spans="1:8" x14ac:dyDescent="0.25">
      <c r="A6">
        <v>5</v>
      </c>
      <c r="B6">
        <f t="shared" si="0"/>
        <v>0.05</v>
      </c>
      <c r="C6">
        <f t="shared" si="1"/>
        <v>2.5000000000000001E-3</v>
      </c>
      <c r="D6">
        <f t="shared" si="2"/>
        <v>1.25E-4</v>
      </c>
      <c r="E6">
        <f t="shared" si="3"/>
        <v>6.2500000000000003E-3</v>
      </c>
      <c r="F6" s="3">
        <f t="shared" ref="F6:F21" si="4">50/E6</f>
        <v>8000</v>
      </c>
      <c r="G6" s="3">
        <f t="shared" ref="G6:G21" si="5">F6/1.3333</f>
        <v>6000.1500037500937</v>
      </c>
      <c r="H6" s="2">
        <f t="shared" ref="H6:H21" si="6">F6*G6/1000000</f>
        <v>48.001200030000746</v>
      </c>
    </row>
    <row r="7" spans="1:8" x14ac:dyDescent="0.25">
      <c r="A7">
        <v>6</v>
      </c>
      <c r="B7">
        <f t="shared" si="0"/>
        <v>0.06</v>
      </c>
      <c r="C7">
        <f t="shared" si="1"/>
        <v>2.5000000000000001E-3</v>
      </c>
      <c r="D7">
        <f t="shared" si="2"/>
        <v>1.4999999999999999E-4</v>
      </c>
      <c r="E7">
        <f t="shared" si="3"/>
        <v>7.4999999999999997E-3</v>
      </c>
      <c r="F7" s="3">
        <f t="shared" si="4"/>
        <v>6666.666666666667</v>
      </c>
      <c r="G7" s="3">
        <f t="shared" si="5"/>
        <v>5000.1250031250784</v>
      </c>
      <c r="H7" s="2">
        <f t="shared" si="6"/>
        <v>33.334166687500527</v>
      </c>
    </row>
    <row r="8" spans="1:8" x14ac:dyDescent="0.25">
      <c r="A8">
        <v>7</v>
      </c>
      <c r="B8">
        <f t="shared" si="0"/>
        <v>7.0000000000000007E-2</v>
      </c>
      <c r="C8">
        <f t="shared" si="1"/>
        <v>2.5000000000000001E-3</v>
      </c>
      <c r="D8">
        <f t="shared" si="2"/>
        <v>1.7500000000000003E-4</v>
      </c>
      <c r="E8">
        <f t="shared" si="3"/>
        <v>8.7500000000000008E-3</v>
      </c>
      <c r="F8" s="3">
        <f t="shared" si="4"/>
        <v>5714.2857142857138</v>
      </c>
      <c r="G8" s="3">
        <f t="shared" si="5"/>
        <v>4285.8214312500668</v>
      </c>
      <c r="H8" s="2">
        <f t="shared" si="6"/>
        <v>24.490408178571808</v>
      </c>
    </row>
    <row r="9" spans="1:8" x14ac:dyDescent="0.25">
      <c r="A9">
        <v>8</v>
      </c>
      <c r="B9">
        <f t="shared" si="0"/>
        <v>0.08</v>
      </c>
      <c r="C9">
        <f t="shared" si="1"/>
        <v>2.5000000000000001E-3</v>
      </c>
      <c r="D9">
        <f t="shared" si="2"/>
        <v>2.0000000000000001E-4</v>
      </c>
      <c r="E9">
        <f t="shared" si="3"/>
        <v>0.01</v>
      </c>
      <c r="F9" s="3">
        <f t="shared" si="4"/>
        <v>5000</v>
      </c>
      <c r="G9" s="3">
        <f t="shared" si="5"/>
        <v>3750.0937523438088</v>
      </c>
      <c r="H9" s="2">
        <f t="shared" si="6"/>
        <v>18.750468761719045</v>
      </c>
    </row>
    <row r="10" spans="1:8" x14ac:dyDescent="0.25">
      <c r="A10">
        <v>9</v>
      </c>
      <c r="B10">
        <f t="shared" si="0"/>
        <v>0.09</v>
      </c>
      <c r="C10">
        <f t="shared" si="1"/>
        <v>2.5000000000000001E-3</v>
      </c>
      <c r="D10">
        <f t="shared" si="2"/>
        <v>2.2499999999999999E-4</v>
      </c>
      <c r="E10">
        <f t="shared" si="3"/>
        <v>1.125E-2</v>
      </c>
      <c r="F10" s="3">
        <f t="shared" si="4"/>
        <v>4444.4444444444443</v>
      </c>
      <c r="G10" s="3">
        <f t="shared" si="5"/>
        <v>3333.4166687500524</v>
      </c>
      <c r="H10" s="2">
        <f t="shared" si="6"/>
        <v>14.815185194444677</v>
      </c>
    </row>
    <row r="11" spans="1:8" x14ac:dyDescent="0.25">
      <c r="A11">
        <v>10</v>
      </c>
      <c r="B11">
        <f t="shared" si="0"/>
        <v>0.1</v>
      </c>
      <c r="C11">
        <f>0.25/100</f>
        <v>2.5000000000000001E-3</v>
      </c>
      <c r="D11">
        <f t="shared" si="2"/>
        <v>2.5000000000000001E-4</v>
      </c>
      <c r="E11">
        <f t="shared" si="3"/>
        <v>1.2500000000000001E-2</v>
      </c>
      <c r="F11" s="3">
        <f t="shared" si="4"/>
        <v>4000</v>
      </c>
      <c r="G11" s="3">
        <f t="shared" si="5"/>
        <v>3000.0750018750468</v>
      </c>
      <c r="H11" s="2">
        <f t="shared" si="6"/>
        <v>12.000300007500186</v>
      </c>
    </row>
    <row r="12" spans="1:8" x14ac:dyDescent="0.25">
      <c r="A12">
        <v>11</v>
      </c>
      <c r="B12">
        <f t="shared" si="0"/>
        <v>0.11</v>
      </c>
      <c r="C12">
        <f t="shared" si="1"/>
        <v>2.5000000000000001E-3</v>
      </c>
      <c r="D12">
        <f t="shared" si="2"/>
        <v>2.7500000000000002E-4</v>
      </c>
      <c r="E12">
        <f t="shared" si="3"/>
        <v>1.375E-2</v>
      </c>
      <c r="F12" s="3">
        <f t="shared" si="4"/>
        <v>3636.3636363636365</v>
      </c>
      <c r="G12" s="3">
        <f t="shared" si="5"/>
        <v>2727.3409107954976</v>
      </c>
      <c r="H12" s="2">
        <f t="shared" si="6"/>
        <v>9.917603311983628</v>
      </c>
    </row>
    <row r="13" spans="1:8" x14ac:dyDescent="0.25">
      <c r="A13">
        <v>12</v>
      </c>
      <c r="B13">
        <f t="shared" si="0"/>
        <v>0.12</v>
      </c>
      <c r="C13">
        <f t="shared" si="1"/>
        <v>2.5000000000000001E-3</v>
      </c>
      <c r="D13">
        <f t="shared" si="2"/>
        <v>2.9999999999999997E-4</v>
      </c>
      <c r="E13">
        <f t="shared" si="3"/>
        <v>1.4999999999999999E-2</v>
      </c>
      <c r="F13" s="3">
        <f t="shared" si="4"/>
        <v>3333.3333333333335</v>
      </c>
      <c r="G13" s="3">
        <f t="shared" si="5"/>
        <v>2500.0625015625392</v>
      </c>
      <c r="H13" s="2">
        <f t="shared" si="6"/>
        <v>8.3335416718751318</v>
      </c>
    </row>
    <row r="14" spans="1:8" x14ac:dyDescent="0.25">
      <c r="A14">
        <v>13</v>
      </c>
      <c r="B14">
        <f t="shared" si="0"/>
        <v>0.13</v>
      </c>
      <c r="C14">
        <f t="shared" si="1"/>
        <v>2.5000000000000001E-3</v>
      </c>
      <c r="D14">
        <f t="shared" si="2"/>
        <v>3.2500000000000004E-4</v>
      </c>
      <c r="E14">
        <f t="shared" si="3"/>
        <v>1.6250000000000001E-2</v>
      </c>
      <c r="F14" s="3">
        <f t="shared" si="4"/>
        <v>3076.9230769230767</v>
      </c>
      <c r="G14" s="3">
        <f t="shared" si="5"/>
        <v>2307.7500014423435</v>
      </c>
      <c r="H14" s="2">
        <f t="shared" si="6"/>
        <v>7.1007692352072107</v>
      </c>
    </row>
    <row r="15" spans="1:8" x14ac:dyDescent="0.25">
      <c r="A15">
        <v>14</v>
      </c>
      <c r="B15">
        <f t="shared" si="0"/>
        <v>0.14000000000000001</v>
      </c>
      <c r="C15">
        <f t="shared" si="1"/>
        <v>2.5000000000000001E-3</v>
      </c>
      <c r="D15">
        <f t="shared" si="2"/>
        <v>3.5000000000000005E-4</v>
      </c>
      <c r="E15">
        <f t="shared" si="3"/>
        <v>1.7500000000000002E-2</v>
      </c>
      <c r="F15" s="3">
        <f t="shared" si="4"/>
        <v>2857.1428571428569</v>
      </c>
      <c r="G15" s="3">
        <f t="shared" si="5"/>
        <v>2142.9107156250334</v>
      </c>
      <c r="H15" s="2">
        <f t="shared" si="6"/>
        <v>6.1226020446429521</v>
      </c>
    </row>
    <row r="16" spans="1:8" x14ac:dyDescent="0.25">
      <c r="A16">
        <v>15</v>
      </c>
      <c r="B16">
        <f t="shared" si="0"/>
        <v>0.15</v>
      </c>
      <c r="C16">
        <f t="shared" si="1"/>
        <v>2.5000000000000001E-3</v>
      </c>
      <c r="D16">
        <f t="shared" si="2"/>
        <v>3.7500000000000001E-4</v>
      </c>
      <c r="E16">
        <f t="shared" si="3"/>
        <v>1.8749999999999999E-2</v>
      </c>
      <c r="F16" s="3">
        <f t="shared" si="4"/>
        <v>2666.666666666667</v>
      </c>
      <c r="G16" s="3">
        <f t="shared" si="5"/>
        <v>2000.0500012500315</v>
      </c>
      <c r="H16" s="2">
        <f t="shared" si="6"/>
        <v>5.3334666700000843</v>
      </c>
    </row>
    <row r="17" spans="1:8" x14ac:dyDescent="0.25">
      <c r="A17">
        <v>16</v>
      </c>
      <c r="B17">
        <f t="shared" si="0"/>
        <v>0.16</v>
      </c>
      <c r="C17">
        <f t="shared" si="1"/>
        <v>2.5000000000000001E-3</v>
      </c>
      <c r="D17">
        <f t="shared" si="2"/>
        <v>4.0000000000000002E-4</v>
      </c>
      <c r="E17">
        <f t="shared" si="3"/>
        <v>0.02</v>
      </c>
      <c r="F17" s="3">
        <f t="shared" si="4"/>
        <v>2500</v>
      </c>
      <c r="G17" s="3">
        <f t="shared" si="5"/>
        <v>1875.0468761719044</v>
      </c>
      <c r="H17" s="2">
        <f t="shared" si="6"/>
        <v>4.6876171904297612</v>
      </c>
    </row>
    <row r="18" spans="1:8" x14ac:dyDescent="0.25">
      <c r="A18">
        <v>17</v>
      </c>
      <c r="B18">
        <f t="shared" si="0"/>
        <v>0.17</v>
      </c>
      <c r="C18">
        <f t="shared" si="1"/>
        <v>2.5000000000000001E-3</v>
      </c>
      <c r="D18">
        <f t="shared" si="2"/>
        <v>4.2500000000000003E-4</v>
      </c>
      <c r="E18">
        <f t="shared" si="3"/>
        <v>2.1250000000000002E-2</v>
      </c>
      <c r="F18" s="3">
        <f t="shared" si="4"/>
        <v>2352.9411764705883</v>
      </c>
      <c r="G18" s="3">
        <f t="shared" si="5"/>
        <v>1764.7500011029688</v>
      </c>
      <c r="H18" s="2">
        <f t="shared" si="6"/>
        <v>4.1523529437716915</v>
      </c>
    </row>
    <row r="19" spans="1:8" x14ac:dyDescent="0.25">
      <c r="A19">
        <v>18</v>
      </c>
      <c r="B19">
        <f t="shared" si="0"/>
        <v>0.18</v>
      </c>
      <c r="C19">
        <f t="shared" si="1"/>
        <v>2.5000000000000001E-3</v>
      </c>
      <c r="D19">
        <f t="shared" si="2"/>
        <v>4.4999999999999999E-4</v>
      </c>
      <c r="E19">
        <f t="shared" si="3"/>
        <v>2.2499999999999999E-2</v>
      </c>
      <c r="F19" s="3">
        <f t="shared" si="4"/>
        <v>2222.2222222222222</v>
      </c>
      <c r="G19" s="3">
        <f t="shared" si="5"/>
        <v>1666.7083343750262</v>
      </c>
      <c r="H19" s="2">
        <f t="shared" si="6"/>
        <v>3.7037962986111692</v>
      </c>
    </row>
    <row r="20" spans="1:8" x14ac:dyDescent="0.25">
      <c r="A20">
        <v>19</v>
      </c>
      <c r="B20">
        <f t="shared" si="0"/>
        <v>0.19</v>
      </c>
      <c r="C20">
        <f t="shared" si="1"/>
        <v>2.5000000000000001E-3</v>
      </c>
      <c r="D20">
        <f t="shared" si="2"/>
        <v>4.75E-4</v>
      </c>
      <c r="E20">
        <f t="shared" si="3"/>
        <v>2.375E-2</v>
      </c>
      <c r="F20" s="3">
        <f t="shared" si="4"/>
        <v>2105.2631578947367</v>
      </c>
      <c r="G20" s="3">
        <f t="shared" si="5"/>
        <v>1578.9868430921299</v>
      </c>
      <c r="H20" s="2">
        <f t="shared" si="6"/>
        <v>3.3241828275623782</v>
      </c>
    </row>
    <row r="21" spans="1:8" x14ac:dyDescent="0.25">
      <c r="A21">
        <v>20</v>
      </c>
      <c r="B21">
        <f t="shared" si="0"/>
        <v>0.2</v>
      </c>
      <c r="C21">
        <f t="shared" si="1"/>
        <v>2.5000000000000001E-3</v>
      </c>
      <c r="D21">
        <f t="shared" si="2"/>
        <v>5.0000000000000001E-4</v>
      </c>
      <c r="E21">
        <f t="shared" si="3"/>
        <v>2.5000000000000001E-2</v>
      </c>
      <c r="F21" s="3">
        <f t="shared" si="4"/>
        <v>2000</v>
      </c>
      <c r="G21" s="3">
        <f t="shared" si="5"/>
        <v>1500.0375009375234</v>
      </c>
      <c r="H21" s="2">
        <f t="shared" si="6"/>
        <v>3.0000750018750466</v>
      </c>
    </row>
    <row r="22" spans="1:8" x14ac:dyDescent="0.25">
      <c r="F22" s="3"/>
      <c r="G22" s="3"/>
      <c r="H22" s="2"/>
    </row>
    <row r="23" spans="1:8" x14ac:dyDescent="0.25">
      <c r="F23" s="3"/>
      <c r="G23" s="3"/>
      <c r="H23" s="2"/>
    </row>
    <row r="24" spans="1:8" x14ac:dyDescent="0.25">
      <c r="F24" s="3"/>
      <c r="G24" s="3"/>
      <c r="H24" s="2"/>
    </row>
    <row r="25" spans="1:8" x14ac:dyDescent="0.25">
      <c r="F25" s="3"/>
      <c r="G25" s="3"/>
      <c r="H25" s="2"/>
    </row>
    <row r="26" spans="1:8" x14ac:dyDescent="0.25">
      <c r="F26" s="3"/>
      <c r="G26" s="3"/>
      <c r="H26" s="2"/>
    </row>
    <row r="27" spans="1:8" x14ac:dyDescent="0.25">
      <c r="H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Saavedra</dc:creator>
  <cp:lastModifiedBy>Diego Saavedra</cp:lastModifiedBy>
  <dcterms:created xsi:type="dcterms:W3CDTF">2015-06-05T18:19:34Z</dcterms:created>
  <dcterms:modified xsi:type="dcterms:W3CDTF">2025-12-13T15:42:42Z</dcterms:modified>
</cp:coreProperties>
</file>