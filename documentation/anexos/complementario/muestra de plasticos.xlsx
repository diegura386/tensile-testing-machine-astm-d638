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ce65fe04daea0b/Documentos/Proyecto Final 2022/Maquina de Traccion/calculos/git/"/>
    </mc:Choice>
  </mc:AlternateContent>
  <xr:revisionPtr revIDLastSave="865" documentId="8_{A0A76275-1E92-4088-A67B-8B59A319498E}" xr6:coauthVersionLast="47" xr6:coauthVersionMax="47" xr10:uidLastSave="{BFC78C73-AA11-449E-B064-E6315045BE59}"/>
  <bookViews>
    <workbookView xWindow="14400" yWindow="8235" windowWidth="43200" windowHeight="23445" activeTab="1" xr2:uid="{00000000-000D-0000-FFFF-FFFF00000000}"/>
  </bookViews>
  <sheets>
    <sheet name="ASTM D638-Probetas" sheetId="1" r:id="rId1"/>
    <sheet name="Plásticos" sheetId="2" r:id="rId2"/>
  </sheets>
  <definedNames>
    <definedName name="_xlchart.v1.0" hidden="1">Plásticos!$G$7</definedName>
    <definedName name="_xlchart.v1.1" hidden="1">Plásticos!$G$8:$G$107</definedName>
    <definedName name="_xlchart.v1.2" hidden="1">Plásticos!$I$7</definedName>
    <definedName name="_xlchart.v1.3" hidden="1">Plásticos!$I$8:$I$107</definedName>
    <definedName name="_xlchart.v1.4" hidden="1">Plásticos!$H$7</definedName>
    <definedName name="_xlchart.v1.5" hidden="1">Plásticos!$H$8:$H$107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J66" i="2"/>
  <c r="K66" i="2" s="1"/>
  <c r="Q66" i="2"/>
  <c r="J67" i="2"/>
  <c r="K67" i="2" s="1"/>
  <c r="Q67" i="2"/>
  <c r="J68" i="2"/>
  <c r="Q68" i="2"/>
  <c r="J69" i="2"/>
  <c r="N69" i="2" s="1"/>
  <c r="Q69" i="2"/>
  <c r="J70" i="2"/>
  <c r="K70" i="2" s="1"/>
  <c r="Q70" i="2"/>
  <c r="J71" i="2"/>
  <c r="K71" i="2" s="1"/>
  <c r="Q71" i="2"/>
  <c r="J72" i="2"/>
  <c r="Q72" i="2"/>
  <c r="J73" i="2"/>
  <c r="N73" i="2" s="1"/>
  <c r="Q73" i="2"/>
  <c r="J89" i="2"/>
  <c r="Q89" i="2"/>
  <c r="J90" i="2"/>
  <c r="K90" i="2" s="1"/>
  <c r="Q90" i="2"/>
  <c r="J91" i="2"/>
  <c r="Q91" i="2"/>
  <c r="J92" i="2"/>
  <c r="K92" i="2" s="1"/>
  <c r="Q92" i="2"/>
  <c r="J93" i="2"/>
  <c r="Q93" i="2"/>
  <c r="J94" i="2"/>
  <c r="K94" i="2" s="1"/>
  <c r="Q94" i="2"/>
  <c r="J95" i="2"/>
  <c r="Q95" i="2"/>
  <c r="J96" i="2"/>
  <c r="K96" i="2" s="1"/>
  <c r="Q96" i="2"/>
  <c r="J97" i="2"/>
  <c r="Q97" i="2"/>
  <c r="Q8" i="2"/>
  <c r="J10" i="2"/>
  <c r="R10" i="2" s="1"/>
  <c r="G8" i="2"/>
  <c r="E5" i="1"/>
  <c r="I8" i="2"/>
  <c r="I9" i="2"/>
  <c r="P73" i="2" l="1"/>
  <c r="P70" i="2"/>
  <c r="P94" i="2"/>
  <c r="P69" i="2"/>
  <c r="P90" i="2"/>
  <c r="P10" i="2"/>
  <c r="K97" i="2"/>
  <c r="P97" i="2"/>
  <c r="K95" i="2"/>
  <c r="P95" i="2"/>
  <c r="N93" i="2"/>
  <c r="P93" i="2"/>
  <c r="K91" i="2"/>
  <c r="P91" i="2"/>
  <c r="N89" i="2"/>
  <c r="P89" i="2"/>
  <c r="K72" i="2"/>
  <c r="P72" i="2"/>
  <c r="K68" i="2"/>
  <c r="P68" i="2"/>
  <c r="P66" i="2"/>
  <c r="P96" i="2"/>
  <c r="P92" i="2"/>
  <c r="P71" i="2"/>
  <c r="P67" i="2"/>
  <c r="M90" i="2"/>
  <c r="M97" i="2"/>
  <c r="M73" i="2"/>
  <c r="R95" i="2"/>
  <c r="S95" i="2" s="1"/>
  <c r="T95" i="2" s="1"/>
  <c r="V95" i="2" s="1"/>
  <c r="M94" i="2"/>
  <c r="M69" i="2"/>
  <c r="M93" i="2"/>
  <c r="M10" i="2"/>
  <c r="L72" i="2"/>
  <c r="M70" i="2"/>
  <c r="L68" i="2"/>
  <c r="M89" i="2"/>
  <c r="O95" i="2"/>
  <c r="L95" i="2"/>
  <c r="M96" i="2"/>
  <c r="M92" i="2"/>
  <c r="M72" i="2"/>
  <c r="M68" i="2"/>
  <c r="M66" i="2"/>
  <c r="L96" i="2"/>
  <c r="K89" i="2"/>
  <c r="L91" i="2"/>
  <c r="M95" i="2"/>
  <c r="M91" i="2"/>
  <c r="M71" i="2"/>
  <c r="M67" i="2"/>
  <c r="L71" i="2"/>
  <c r="L94" i="2"/>
  <c r="L90" i="2"/>
  <c r="L70" i="2"/>
  <c r="L66" i="2"/>
  <c r="L10" i="2"/>
  <c r="L92" i="2"/>
  <c r="L67" i="2"/>
  <c r="L97" i="2"/>
  <c r="L93" i="2"/>
  <c r="L89" i="2"/>
  <c r="L73" i="2"/>
  <c r="L69" i="2"/>
  <c r="O89" i="2"/>
  <c r="O70" i="2"/>
  <c r="R89" i="2"/>
  <c r="S89" i="2" s="1"/>
  <c r="T89" i="2" s="1"/>
  <c r="U89" i="2" s="1"/>
  <c r="K73" i="2"/>
  <c r="N70" i="2"/>
  <c r="R93" i="2"/>
  <c r="S93" i="2" s="1"/>
  <c r="T93" i="2" s="1"/>
  <c r="V93" i="2" s="1"/>
  <c r="K93" i="2"/>
  <c r="N66" i="2"/>
  <c r="R94" i="2"/>
  <c r="S94" i="2" s="1"/>
  <c r="T94" i="2" s="1"/>
  <c r="U94" i="2" s="1"/>
  <c r="O97" i="2"/>
  <c r="R73" i="2"/>
  <c r="S73" i="2" s="1"/>
  <c r="T73" i="2" s="1"/>
  <c r="U73" i="2" s="1"/>
  <c r="O72" i="2"/>
  <c r="R97" i="2"/>
  <c r="S97" i="2" s="1"/>
  <c r="T97" i="2" s="1"/>
  <c r="U97" i="2" s="1"/>
  <c r="R90" i="2"/>
  <c r="S90" i="2" s="1"/>
  <c r="T90" i="2" s="1"/>
  <c r="U90" i="2" s="1"/>
  <c r="N97" i="2"/>
  <c r="O96" i="2"/>
  <c r="O93" i="2"/>
  <c r="O91" i="2"/>
  <c r="N72" i="2"/>
  <c r="O92" i="2"/>
  <c r="O73" i="2"/>
  <c r="R72" i="2"/>
  <c r="S72" i="2" s="1"/>
  <c r="T72" i="2" s="1"/>
  <c r="U72" i="2" s="1"/>
  <c r="R69" i="2"/>
  <c r="S69" i="2" s="1"/>
  <c r="T69" i="2" s="1"/>
  <c r="V69" i="2" s="1"/>
  <c r="O68" i="2"/>
  <c r="N95" i="2"/>
  <c r="N91" i="2"/>
  <c r="O69" i="2"/>
  <c r="N68" i="2"/>
  <c r="R91" i="2"/>
  <c r="S91" i="2" s="1"/>
  <c r="T91" i="2" s="1"/>
  <c r="U91" i="2" s="1"/>
  <c r="O94" i="2"/>
  <c r="O90" i="2"/>
  <c r="K69" i="2"/>
  <c r="R68" i="2"/>
  <c r="S68" i="2" s="1"/>
  <c r="T68" i="2" s="1"/>
  <c r="U68" i="2" s="1"/>
  <c r="O67" i="2"/>
  <c r="O66" i="2"/>
  <c r="N71" i="2"/>
  <c r="R70" i="2"/>
  <c r="S70" i="2" s="1"/>
  <c r="T70" i="2" s="1"/>
  <c r="U70" i="2" s="1"/>
  <c r="N67" i="2"/>
  <c r="R66" i="2"/>
  <c r="S66" i="2" s="1"/>
  <c r="T66" i="2" s="1"/>
  <c r="U66" i="2" s="1"/>
  <c r="O71" i="2"/>
  <c r="R71" i="2"/>
  <c r="S71" i="2" s="1"/>
  <c r="T71" i="2" s="1"/>
  <c r="R67" i="2"/>
  <c r="S67" i="2" s="1"/>
  <c r="T67" i="2" s="1"/>
  <c r="R96" i="2"/>
  <c r="S96" i="2" s="1"/>
  <c r="T96" i="2" s="1"/>
  <c r="U96" i="2" s="1"/>
  <c r="R92" i="2"/>
  <c r="S92" i="2" s="1"/>
  <c r="T92" i="2" s="1"/>
  <c r="U92" i="2" s="1"/>
  <c r="N96" i="2"/>
  <c r="N94" i="2"/>
  <c r="N92" i="2"/>
  <c r="N90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66" i="2"/>
  <c r="H66" i="2"/>
  <c r="I66" i="2"/>
  <c r="G67" i="2"/>
  <c r="H67" i="2"/>
  <c r="I67" i="2"/>
  <c r="G46" i="2"/>
  <c r="H46" i="2"/>
  <c r="I46" i="2"/>
  <c r="G36" i="2"/>
  <c r="H36" i="2"/>
  <c r="I36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G24" i="2"/>
  <c r="G25" i="2"/>
  <c r="G26" i="2"/>
  <c r="G27" i="2"/>
  <c r="G28" i="2"/>
  <c r="G29" i="2"/>
  <c r="G30" i="2"/>
  <c r="G31" i="2"/>
  <c r="G32" i="2"/>
  <c r="G33" i="2"/>
  <c r="G34" i="2"/>
  <c r="J86" i="2"/>
  <c r="P86" i="2" s="1"/>
  <c r="Q86" i="2"/>
  <c r="J85" i="2"/>
  <c r="P85" i="2" s="1"/>
  <c r="Q85" i="2"/>
  <c r="J84" i="2"/>
  <c r="P84" i="2" s="1"/>
  <c r="Q84" i="2"/>
  <c r="J83" i="2"/>
  <c r="P83" i="2" s="1"/>
  <c r="Q83" i="2"/>
  <c r="J82" i="2"/>
  <c r="P82" i="2" s="1"/>
  <c r="Q82" i="2"/>
  <c r="J81" i="2"/>
  <c r="P81" i="2" s="1"/>
  <c r="Q81" i="2"/>
  <c r="J80" i="2"/>
  <c r="P80" i="2" s="1"/>
  <c r="Q80" i="2"/>
  <c r="J79" i="2"/>
  <c r="P79" i="2" s="1"/>
  <c r="Q79" i="2"/>
  <c r="J78" i="2"/>
  <c r="P78" i="2" s="1"/>
  <c r="Q78" i="2"/>
  <c r="J77" i="2"/>
  <c r="P77" i="2" s="1"/>
  <c r="Q77" i="2"/>
  <c r="J76" i="2"/>
  <c r="P76" i="2" s="1"/>
  <c r="Q76" i="2"/>
  <c r="J75" i="2"/>
  <c r="P75" i="2" s="1"/>
  <c r="Q75" i="2"/>
  <c r="J74" i="2"/>
  <c r="P74" i="2" s="1"/>
  <c r="Q74" i="2"/>
  <c r="J46" i="2"/>
  <c r="P46" i="2" s="1"/>
  <c r="Q46" i="2"/>
  <c r="J31" i="2"/>
  <c r="P31" i="2" s="1"/>
  <c r="Q31" i="2"/>
  <c r="J29" i="2"/>
  <c r="P29" i="2" s="1"/>
  <c r="Q29" i="2"/>
  <c r="J28" i="2"/>
  <c r="P28" i="2" s="1"/>
  <c r="Q28" i="2"/>
  <c r="J30" i="2"/>
  <c r="P30" i="2" s="1"/>
  <c r="Q30" i="2"/>
  <c r="J32" i="2"/>
  <c r="P32" i="2" s="1"/>
  <c r="Q32" i="2"/>
  <c r="J34" i="2"/>
  <c r="P34" i="2" s="1"/>
  <c r="Q34" i="2"/>
  <c r="J33" i="2"/>
  <c r="P33" i="2" s="1"/>
  <c r="Q33" i="2"/>
  <c r="J25" i="2"/>
  <c r="P25" i="2" s="1"/>
  <c r="Q25" i="2"/>
  <c r="J26" i="2"/>
  <c r="P26" i="2" s="1"/>
  <c r="Q26" i="2"/>
  <c r="J27" i="2"/>
  <c r="P27" i="2" s="1"/>
  <c r="Q27" i="2"/>
  <c r="J24" i="2"/>
  <c r="P24" i="2" s="1"/>
  <c r="Q24" i="2"/>
  <c r="J36" i="2"/>
  <c r="P36" i="2" s="1"/>
  <c r="Q36" i="2"/>
  <c r="J12" i="2"/>
  <c r="U93" i="2" l="1"/>
  <c r="U95" i="2"/>
  <c r="M12" i="2"/>
  <c r="P12" i="2"/>
  <c r="V90" i="2"/>
  <c r="L36" i="2"/>
  <c r="M36" i="2"/>
  <c r="L27" i="2"/>
  <c r="M27" i="2"/>
  <c r="L25" i="2"/>
  <c r="M25" i="2"/>
  <c r="L34" i="2"/>
  <c r="M34" i="2"/>
  <c r="L30" i="2"/>
  <c r="M30" i="2"/>
  <c r="L29" i="2"/>
  <c r="M29" i="2"/>
  <c r="L46" i="2"/>
  <c r="M46" i="2"/>
  <c r="L75" i="2"/>
  <c r="M75" i="2"/>
  <c r="L77" i="2"/>
  <c r="M77" i="2"/>
  <c r="L79" i="2"/>
  <c r="M79" i="2"/>
  <c r="L81" i="2"/>
  <c r="M81" i="2"/>
  <c r="L83" i="2"/>
  <c r="M83" i="2"/>
  <c r="L85" i="2"/>
  <c r="M85" i="2"/>
  <c r="V94" i="2"/>
  <c r="L24" i="2"/>
  <c r="M24" i="2"/>
  <c r="L26" i="2"/>
  <c r="M26" i="2"/>
  <c r="L33" i="2"/>
  <c r="M33" i="2"/>
  <c r="L32" i="2"/>
  <c r="M32" i="2"/>
  <c r="L28" i="2"/>
  <c r="M28" i="2"/>
  <c r="L31" i="2"/>
  <c r="M31" i="2"/>
  <c r="L74" i="2"/>
  <c r="M74" i="2"/>
  <c r="L76" i="2"/>
  <c r="M76" i="2"/>
  <c r="L78" i="2"/>
  <c r="M78" i="2"/>
  <c r="L80" i="2"/>
  <c r="M80" i="2"/>
  <c r="L82" i="2"/>
  <c r="M82" i="2"/>
  <c r="L84" i="2"/>
  <c r="M84" i="2"/>
  <c r="L86" i="2"/>
  <c r="M86" i="2"/>
  <c r="R12" i="2"/>
  <c r="S12" i="2" s="1"/>
  <c r="T12" i="2" s="1"/>
  <c r="L12" i="2"/>
  <c r="V73" i="2"/>
  <c r="V89" i="2"/>
  <c r="U69" i="2"/>
  <c r="V97" i="2"/>
  <c r="V72" i="2"/>
  <c r="V91" i="2"/>
  <c r="V68" i="2"/>
  <c r="K33" i="2"/>
  <c r="R33" i="2"/>
  <c r="S33" i="2" s="1"/>
  <c r="T33" i="2" s="1"/>
  <c r="U33" i="2" s="1"/>
  <c r="N74" i="2"/>
  <c r="R74" i="2"/>
  <c r="S74" i="2" s="1"/>
  <c r="T74" i="2" s="1"/>
  <c r="V74" i="2" s="1"/>
  <c r="K82" i="2"/>
  <c r="R82" i="2"/>
  <c r="S82" i="2" s="1"/>
  <c r="T82" i="2" s="1"/>
  <c r="U82" i="2" s="1"/>
  <c r="V92" i="2"/>
  <c r="K25" i="2"/>
  <c r="R25" i="2"/>
  <c r="S25" i="2" s="1"/>
  <c r="T25" i="2" s="1"/>
  <c r="U25" i="2" s="1"/>
  <c r="K46" i="2"/>
  <c r="R46" i="2"/>
  <c r="S46" i="2" s="1"/>
  <c r="T46" i="2" s="1"/>
  <c r="V46" i="2" s="1"/>
  <c r="N81" i="2"/>
  <c r="R81" i="2"/>
  <c r="S81" i="2" s="1"/>
  <c r="T81" i="2" s="1"/>
  <c r="V81" i="2" s="1"/>
  <c r="K26" i="2"/>
  <c r="R26" i="2"/>
  <c r="S26" i="2" s="1"/>
  <c r="T26" i="2" s="1"/>
  <c r="U26" i="2" s="1"/>
  <c r="N32" i="2"/>
  <c r="R32" i="2"/>
  <c r="S32" i="2" s="1"/>
  <c r="T32" i="2" s="1"/>
  <c r="U32" i="2" s="1"/>
  <c r="K31" i="2"/>
  <c r="R31" i="2"/>
  <c r="S31" i="2" s="1"/>
  <c r="T31" i="2" s="1"/>
  <c r="U31" i="2" s="1"/>
  <c r="N76" i="2"/>
  <c r="O76" i="2"/>
  <c r="R76" i="2"/>
  <c r="S76" i="2" s="1"/>
  <c r="T76" i="2" s="1"/>
  <c r="V76" i="2" s="1"/>
  <c r="N80" i="2"/>
  <c r="R80" i="2"/>
  <c r="S80" i="2" s="1"/>
  <c r="T80" i="2" s="1"/>
  <c r="V80" i="2" s="1"/>
  <c r="N84" i="2"/>
  <c r="R84" i="2"/>
  <c r="S84" i="2" s="1"/>
  <c r="T84" i="2" s="1"/>
  <c r="U84" i="2" s="1"/>
  <c r="V96" i="2"/>
  <c r="N24" i="2"/>
  <c r="R24" i="2"/>
  <c r="S24" i="2" s="1"/>
  <c r="T24" i="2" s="1"/>
  <c r="U24" i="2" s="1"/>
  <c r="K28" i="2"/>
  <c r="R28" i="2"/>
  <c r="S28" i="2" s="1"/>
  <c r="T28" i="2" s="1"/>
  <c r="V28" i="2" s="1"/>
  <c r="N78" i="2"/>
  <c r="R78" i="2"/>
  <c r="S78" i="2" s="1"/>
  <c r="T78" i="2" s="1"/>
  <c r="V78" i="2" s="1"/>
  <c r="N86" i="2"/>
  <c r="R86" i="2"/>
  <c r="S86" i="2" s="1"/>
  <c r="T86" i="2" s="1"/>
  <c r="V86" i="2" s="1"/>
  <c r="K36" i="2"/>
  <c r="R36" i="2"/>
  <c r="S36" i="2" s="1"/>
  <c r="T36" i="2" s="1"/>
  <c r="U36" i="2" s="1"/>
  <c r="K30" i="2"/>
  <c r="R30" i="2"/>
  <c r="S30" i="2" s="1"/>
  <c r="T30" i="2" s="1"/>
  <c r="U30" i="2" s="1"/>
  <c r="N77" i="2"/>
  <c r="R77" i="2"/>
  <c r="S77" i="2" s="1"/>
  <c r="T77" i="2" s="1"/>
  <c r="U77" i="2" s="1"/>
  <c r="K85" i="2"/>
  <c r="R85" i="2"/>
  <c r="S85" i="2" s="1"/>
  <c r="T85" i="2" s="1"/>
  <c r="U85" i="2" s="1"/>
  <c r="N27" i="2"/>
  <c r="R27" i="2"/>
  <c r="S27" i="2" s="1"/>
  <c r="T27" i="2" s="1"/>
  <c r="V27" i="2" s="1"/>
  <c r="K34" i="2"/>
  <c r="R34" i="2"/>
  <c r="S34" i="2" s="1"/>
  <c r="T34" i="2" s="1"/>
  <c r="U34" i="2" s="1"/>
  <c r="K29" i="2"/>
  <c r="R29" i="2"/>
  <c r="S29" i="2" s="1"/>
  <c r="T29" i="2" s="1"/>
  <c r="V29" i="2" s="1"/>
  <c r="K75" i="2"/>
  <c r="R75" i="2"/>
  <c r="S75" i="2" s="1"/>
  <c r="T75" i="2" s="1"/>
  <c r="U75" i="2" s="1"/>
  <c r="K79" i="2"/>
  <c r="R79" i="2"/>
  <c r="S79" i="2" s="1"/>
  <c r="T79" i="2" s="1"/>
  <c r="U79" i="2" s="1"/>
  <c r="N83" i="2"/>
  <c r="R83" i="2"/>
  <c r="S83" i="2" s="1"/>
  <c r="T83" i="2" s="1"/>
  <c r="U83" i="2" s="1"/>
  <c r="V70" i="2"/>
  <c r="V66" i="2"/>
  <c r="U67" i="2"/>
  <c r="V67" i="2"/>
  <c r="U71" i="2"/>
  <c r="V71" i="2"/>
  <c r="K76" i="2"/>
  <c r="K77" i="2"/>
  <c r="K78" i="2"/>
  <c r="O79" i="2"/>
  <c r="K80" i="2"/>
  <c r="N85" i="2"/>
  <c r="K74" i="2"/>
  <c r="O82" i="2"/>
  <c r="O85" i="2"/>
  <c r="N82" i="2"/>
  <c r="K86" i="2"/>
  <c r="K83" i="2"/>
  <c r="K84" i="2"/>
  <c r="O86" i="2"/>
  <c r="O84" i="2"/>
  <c r="O83" i="2"/>
  <c r="K81" i="2"/>
  <c r="O81" i="2"/>
  <c r="O80" i="2"/>
  <c r="N79" i="2"/>
  <c r="O78" i="2"/>
  <c r="O77" i="2"/>
  <c r="O75" i="2"/>
  <c r="N75" i="2"/>
  <c r="O74" i="2"/>
  <c r="O46" i="2"/>
  <c r="N46" i="2"/>
  <c r="O31" i="2"/>
  <c r="N31" i="2"/>
  <c r="O28" i="2"/>
  <c r="N28" i="2"/>
  <c r="O29" i="2"/>
  <c r="N29" i="2"/>
  <c r="O30" i="2"/>
  <c r="N30" i="2"/>
  <c r="O32" i="2"/>
  <c r="K32" i="2"/>
  <c r="O34" i="2"/>
  <c r="N34" i="2"/>
  <c r="O33" i="2"/>
  <c r="N33" i="2"/>
  <c r="O25" i="2"/>
  <c r="N25" i="2"/>
  <c r="O26" i="2"/>
  <c r="N26" i="2"/>
  <c r="K24" i="2"/>
  <c r="K27" i="2"/>
  <c r="O27" i="2"/>
  <c r="O24" i="2"/>
  <c r="O36" i="2"/>
  <c r="N36" i="2"/>
  <c r="T3" i="2"/>
  <c r="N12" i="2"/>
  <c r="J9" i="2"/>
  <c r="P9" i="2" s="1"/>
  <c r="K10" i="2"/>
  <c r="J11" i="2"/>
  <c r="P11" i="2" s="1"/>
  <c r="K12" i="2"/>
  <c r="J13" i="2"/>
  <c r="P13" i="2" s="1"/>
  <c r="J14" i="2"/>
  <c r="P14" i="2" s="1"/>
  <c r="J15" i="2"/>
  <c r="P15" i="2" s="1"/>
  <c r="J16" i="2"/>
  <c r="P16" i="2" s="1"/>
  <c r="J17" i="2"/>
  <c r="P17" i="2" s="1"/>
  <c r="J18" i="2"/>
  <c r="P18" i="2" s="1"/>
  <c r="J19" i="2"/>
  <c r="P19" i="2" s="1"/>
  <c r="J20" i="2"/>
  <c r="P20" i="2" s="1"/>
  <c r="J21" i="2"/>
  <c r="P21" i="2" s="1"/>
  <c r="J22" i="2"/>
  <c r="P22" i="2" s="1"/>
  <c r="J23" i="2"/>
  <c r="P23" i="2" s="1"/>
  <c r="J35" i="2"/>
  <c r="P35" i="2" s="1"/>
  <c r="J37" i="2"/>
  <c r="P37" i="2" s="1"/>
  <c r="J38" i="2"/>
  <c r="P38" i="2" s="1"/>
  <c r="J39" i="2"/>
  <c r="P39" i="2" s="1"/>
  <c r="J40" i="2"/>
  <c r="P40" i="2" s="1"/>
  <c r="J41" i="2"/>
  <c r="P41" i="2" s="1"/>
  <c r="J42" i="2"/>
  <c r="P42" i="2" s="1"/>
  <c r="J43" i="2"/>
  <c r="P43" i="2" s="1"/>
  <c r="J44" i="2"/>
  <c r="P44" i="2" s="1"/>
  <c r="J45" i="2"/>
  <c r="P45" i="2" s="1"/>
  <c r="J47" i="2"/>
  <c r="P47" i="2" s="1"/>
  <c r="J48" i="2"/>
  <c r="P48" i="2" s="1"/>
  <c r="J49" i="2"/>
  <c r="P49" i="2" s="1"/>
  <c r="J50" i="2"/>
  <c r="P50" i="2" s="1"/>
  <c r="J51" i="2"/>
  <c r="P51" i="2" s="1"/>
  <c r="J52" i="2"/>
  <c r="P52" i="2" s="1"/>
  <c r="J53" i="2"/>
  <c r="P53" i="2" s="1"/>
  <c r="J54" i="2"/>
  <c r="P54" i="2" s="1"/>
  <c r="J55" i="2"/>
  <c r="P55" i="2" s="1"/>
  <c r="J56" i="2"/>
  <c r="P56" i="2" s="1"/>
  <c r="J57" i="2"/>
  <c r="P57" i="2" s="1"/>
  <c r="J58" i="2"/>
  <c r="P58" i="2" s="1"/>
  <c r="J59" i="2"/>
  <c r="P59" i="2" s="1"/>
  <c r="J60" i="2"/>
  <c r="P60" i="2" s="1"/>
  <c r="J61" i="2"/>
  <c r="P61" i="2" s="1"/>
  <c r="J62" i="2"/>
  <c r="P62" i="2" s="1"/>
  <c r="J63" i="2"/>
  <c r="P63" i="2" s="1"/>
  <c r="J64" i="2"/>
  <c r="P64" i="2" s="1"/>
  <c r="J65" i="2"/>
  <c r="P65" i="2" s="1"/>
  <c r="J87" i="2"/>
  <c r="P87" i="2" s="1"/>
  <c r="J88" i="2"/>
  <c r="P88" i="2" s="1"/>
  <c r="J98" i="2"/>
  <c r="P98" i="2" s="1"/>
  <c r="J99" i="2"/>
  <c r="P99" i="2" s="1"/>
  <c r="J100" i="2"/>
  <c r="P100" i="2" s="1"/>
  <c r="J101" i="2"/>
  <c r="P101" i="2" s="1"/>
  <c r="J102" i="2"/>
  <c r="P102" i="2" s="1"/>
  <c r="J103" i="2"/>
  <c r="P103" i="2" s="1"/>
  <c r="J104" i="2"/>
  <c r="P104" i="2" s="1"/>
  <c r="J105" i="2"/>
  <c r="P105" i="2" s="1"/>
  <c r="J106" i="2"/>
  <c r="P106" i="2" s="1"/>
  <c r="J107" i="2"/>
  <c r="P107" i="2" s="1"/>
  <c r="J8" i="2"/>
  <c r="G4" i="2"/>
  <c r="Q3" i="2"/>
  <c r="Q9" i="2"/>
  <c r="T4" i="2"/>
  <c r="S10" i="2"/>
  <c r="T10" i="2" s="1"/>
  <c r="Q104" i="2"/>
  <c r="Q105" i="2"/>
  <c r="Q106" i="2"/>
  <c r="Q107" i="2"/>
  <c r="Q103" i="2"/>
  <c r="Q99" i="2"/>
  <c r="Q100" i="2"/>
  <c r="Q101" i="2"/>
  <c r="Q102" i="2"/>
  <c r="Q98" i="2"/>
  <c r="Q88" i="2"/>
  <c r="Q87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49" i="2"/>
  <c r="Q42" i="2"/>
  <c r="Q43" i="2"/>
  <c r="Q44" i="2"/>
  <c r="Q45" i="2"/>
  <c r="Q47" i="2"/>
  <c r="Q48" i="2"/>
  <c r="Q41" i="2"/>
  <c r="Q39" i="2"/>
  <c r="Q40" i="2"/>
  <c r="Q38" i="2"/>
  <c r="Q37" i="2"/>
  <c r="Q35" i="2"/>
  <c r="Q17" i="2"/>
  <c r="Q18" i="2"/>
  <c r="Q19" i="2"/>
  <c r="Q20" i="2"/>
  <c r="Q21" i="2"/>
  <c r="Q22" i="2"/>
  <c r="Q23" i="2"/>
  <c r="Q16" i="2"/>
  <c r="Q10" i="2"/>
  <c r="Q11" i="2"/>
  <c r="Q12" i="2"/>
  <c r="Q13" i="2"/>
  <c r="Q14" i="2"/>
  <c r="Q15" i="2"/>
  <c r="F5" i="1"/>
  <c r="E6" i="1"/>
  <c r="F6" i="1"/>
  <c r="H16" i="2"/>
  <c r="D6" i="1"/>
  <c r="I10" i="2" s="1"/>
  <c r="B6" i="1"/>
  <c r="P8" i="2" l="1"/>
  <c r="P113" i="2" s="1"/>
  <c r="O8" i="2"/>
  <c r="V25" i="2"/>
  <c r="V84" i="2"/>
  <c r="U27" i="2"/>
  <c r="V77" i="2"/>
  <c r="V24" i="2"/>
  <c r="V79" i="2"/>
  <c r="U81" i="2"/>
  <c r="L107" i="2"/>
  <c r="M107" i="2"/>
  <c r="L103" i="2"/>
  <c r="M103" i="2"/>
  <c r="L99" i="2"/>
  <c r="M99" i="2"/>
  <c r="L65" i="2"/>
  <c r="M65" i="2"/>
  <c r="L61" i="2"/>
  <c r="M61" i="2"/>
  <c r="L57" i="2"/>
  <c r="M57" i="2"/>
  <c r="L53" i="2"/>
  <c r="M53" i="2"/>
  <c r="L49" i="2"/>
  <c r="M49" i="2"/>
  <c r="L44" i="2"/>
  <c r="M44" i="2"/>
  <c r="L40" i="2"/>
  <c r="M40" i="2"/>
  <c r="L35" i="2"/>
  <c r="M35" i="2"/>
  <c r="L20" i="2"/>
  <c r="M20" i="2"/>
  <c r="L16" i="2"/>
  <c r="M16" i="2"/>
  <c r="L106" i="2"/>
  <c r="M106" i="2"/>
  <c r="L102" i="2"/>
  <c r="M102" i="2"/>
  <c r="L98" i="2"/>
  <c r="M98" i="2"/>
  <c r="L64" i="2"/>
  <c r="M64" i="2"/>
  <c r="L60" i="2"/>
  <c r="M60" i="2"/>
  <c r="L56" i="2"/>
  <c r="M56" i="2"/>
  <c r="L52" i="2"/>
  <c r="M52" i="2"/>
  <c r="L48" i="2"/>
  <c r="M48" i="2"/>
  <c r="L43" i="2"/>
  <c r="M43" i="2"/>
  <c r="L39" i="2"/>
  <c r="M39" i="2"/>
  <c r="L23" i="2"/>
  <c r="M23" i="2"/>
  <c r="L19" i="2"/>
  <c r="M19" i="2"/>
  <c r="L15" i="2"/>
  <c r="M15" i="2"/>
  <c r="L11" i="2"/>
  <c r="M11" i="2"/>
  <c r="V82" i="2"/>
  <c r="L105" i="2"/>
  <c r="M105" i="2"/>
  <c r="L101" i="2"/>
  <c r="M101" i="2"/>
  <c r="L88" i="2"/>
  <c r="M88" i="2"/>
  <c r="L63" i="2"/>
  <c r="M63" i="2"/>
  <c r="L59" i="2"/>
  <c r="M59" i="2"/>
  <c r="L55" i="2"/>
  <c r="M55" i="2"/>
  <c r="L51" i="2"/>
  <c r="M51" i="2"/>
  <c r="L47" i="2"/>
  <c r="M47" i="2"/>
  <c r="L42" i="2"/>
  <c r="M42" i="2"/>
  <c r="L38" i="2"/>
  <c r="M38" i="2"/>
  <c r="L22" i="2"/>
  <c r="M22" i="2"/>
  <c r="L18" i="2"/>
  <c r="M18" i="2"/>
  <c r="L14" i="2"/>
  <c r="M14" i="2"/>
  <c r="V32" i="2"/>
  <c r="U78" i="2"/>
  <c r="L8" i="2"/>
  <c r="M8" i="2"/>
  <c r="L104" i="2"/>
  <c r="M104" i="2"/>
  <c r="L100" i="2"/>
  <c r="M100" i="2"/>
  <c r="L87" i="2"/>
  <c r="M87" i="2"/>
  <c r="L62" i="2"/>
  <c r="M62" i="2"/>
  <c r="L58" i="2"/>
  <c r="M58" i="2"/>
  <c r="L54" i="2"/>
  <c r="M54" i="2"/>
  <c r="L50" i="2"/>
  <c r="M50" i="2"/>
  <c r="L45" i="2"/>
  <c r="M45" i="2"/>
  <c r="L41" i="2"/>
  <c r="M41" i="2"/>
  <c r="L37" i="2"/>
  <c r="M37" i="2"/>
  <c r="L21" i="2"/>
  <c r="M21" i="2"/>
  <c r="L17" i="2"/>
  <c r="M17" i="2"/>
  <c r="L13" i="2"/>
  <c r="M13" i="2"/>
  <c r="L9" i="2"/>
  <c r="M9" i="2"/>
  <c r="V33" i="2"/>
  <c r="U76" i="2"/>
  <c r="V75" i="2"/>
  <c r="U86" i="2"/>
  <c r="V85" i="2"/>
  <c r="U28" i="2"/>
  <c r="V34" i="2"/>
  <c r="V30" i="2"/>
  <c r="U29" i="2"/>
  <c r="V31" i="2"/>
  <c r="V83" i="2"/>
  <c r="K107" i="2"/>
  <c r="R107" i="2"/>
  <c r="S107" i="2" s="1"/>
  <c r="K103" i="2"/>
  <c r="R103" i="2"/>
  <c r="S103" i="2" s="1"/>
  <c r="N99" i="2"/>
  <c r="R99" i="2"/>
  <c r="S99" i="2" s="1"/>
  <c r="N65" i="2"/>
  <c r="R65" i="2"/>
  <c r="S65" i="2" s="1"/>
  <c r="K61" i="2"/>
  <c r="R61" i="2"/>
  <c r="S61" i="2" s="1"/>
  <c r="K57" i="2"/>
  <c r="R57" i="2"/>
  <c r="S57" i="2" s="1"/>
  <c r="N53" i="2"/>
  <c r="R53" i="2"/>
  <c r="S53" i="2" s="1"/>
  <c r="N49" i="2"/>
  <c r="R49" i="2"/>
  <c r="S49" i="2" s="1"/>
  <c r="K44" i="2"/>
  <c r="R44" i="2"/>
  <c r="S44" i="2" s="1"/>
  <c r="N40" i="2"/>
  <c r="R40" i="2"/>
  <c r="S40" i="2" s="1"/>
  <c r="K35" i="2"/>
  <c r="R35" i="2"/>
  <c r="S35" i="2" s="1"/>
  <c r="N20" i="2"/>
  <c r="R20" i="2"/>
  <c r="S20" i="2" s="1"/>
  <c r="T20" i="2" s="1"/>
  <c r="N16" i="2"/>
  <c r="R16" i="2"/>
  <c r="S16" i="2" s="1"/>
  <c r="T16" i="2" s="1"/>
  <c r="V16" i="2" s="1"/>
  <c r="V36" i="2"/>
  <c r="V26" i="2"/>
  <c r="U46" i="2"/>
  <c r="U74" i="2"/>
  <c r="U80" i="2"/>
  <c r="K105" i="2"/>
  <c r="R105" i="2"/>
  <c r="S105" i="2" s="1"/>
  <c r="N101" i="2"/>
  <c r="R101" i="2"/>
  <c r="S101" i="2" s="1"/>
  <c r="K88" i="2"/>
  <c r="R88" i="2"/>
  <c r="S88" i="2" s="1"/>
  <c r="N63" i="2"/>
  <c r="R63" i="2"/>
  <c r="S63" i="2" s="1"/>
  <c r="K59" i="2"/>
  <c r="R59" i="2"/>
  <c r="S59" i="2" s="1"/>
  <c r="N55" i="2"/>
  <c r="R55" i="2"/>
  <c r="S55" i="2" s="1"/>
  <c r="N51" i="2"/>
  <c r="R51" i="2"/>
  <c r="S51" i="2" s="1"/>
  <c r="K47" i="2"/>
  <c r="R47" i="2"/>
  <c r="S47" i="2" s="1"/>
  <c r="N42" i="2"/>
  <c r="R42" i="2"/>
  <c r="S42" i="2" s="1"/>
  <c r="N38" i="2"/>
  <c r="R38" i="2"/>
  <c r="S38" i="2" s="1"/>
  <c r="K22" i="2"/>
  <c r="R22" i="2"/>
  <c r="S22" i="2" s="1"/>
  <c r="N18" i="2"/>
  <c r="R18" i="2"/>
  <c r="S18" i="2" s="1"/>
  <c r="T18" i="2" s="1"/>
  <c r="N14" i="2"/>
  <c r="R14" i="2"/>
  <c r="S14" i="2" s="1"/>
  <c r="T14" i="2" s="1"/>
  <c r="V14" i="2" s="1"/>
  <c r="R8" i="2"/>
  <c r="S8" i="2" s="1"/>
  <c r="T8" i="2" s="1"/>
  <c r="U8" i="2" s="1"/>
  <c r="K104" i="2"/>
  <c r="R104" i="2"/>
  <c r="S104" i="2" s="1"/>
  <c r="N100" i="2"/>
  <c r="R100" i="2"/>
  <c r="S100" i="2" s="1"/>
  <c r="K87" i="2"/>
  <c r="R87" i="2"/>
  <c r="S87" i="2" s="1"/>
  <c r="N62" i="2"/>
  <c r="R62" i="2"/>
  <c r="S62" i="2" s="1"/>
  <c r="K58" i="2"/>
  <c r="R58" i="2"/>
  <c r="S58" i="2" s="1"/>
  <c r="N54" i="2"/>
  <c r="R54" i="2"/>
  <c r="S54" i="2" s="1"/>
  <c r="N50" i="2"/>
  <c r="R50" i="2"/>
  <c r="S50" i="2" s="1"/>
  <c r="K45" i="2"/>
  <c r="R45" i="2"/>
  <c r="S45" i="2" s="1"/>
  <c r="N41" i="2"/>
  <c r="R41" i="2"/>
  <c r="S41" i="2" s="1"/>
  <c r="N37" i="2"/>
  <c r="R37" i="2"/>
  <c r="S37" i="2" s="1"/>
  <c r="K21" i="2"/>
  <c r="R21" i="2"/>
  <c r="S21" i="2" s="1"/>
  <c r="T21" i="2" s="1"/>
  <c r="N17" i="2"/>
  <c r="R17" i="2"/>
  <c r="S17" i="2" s="1"/>
  <c r="T17" i="2" s="1"/>
  <c r="U17" i="2" s="1"/>
  <c r="N13" i="2"/>
  <c r="R13" i="2"/>
  <c r="S13" i="2" s="1"/>
  <c r="T13" i="2" s="1"/>
  <c r="V13" i="2" s="1"/>
  <c r="K9" i="2"/>
  <c r="R9" i="2"/>
  <c r="S9" i="2" s="1"/>
  <c r="T9" i="2" s="1"/>
  <c r="U9" i="2" s="1"/>
  <c r="K106" i="2"/>
  <c r="R106" i="2"/>
  <c r="S106" i="2" s="1"/>
  <c r="N102" i="2"/>
  <c r="R102" i="2"/>
  <c r="S102" i="2" s="1"/>
  <c r="N98" i="2"/>
  <c r="R98" i="2"/>
  <c r="S98" i="2" s="1"/>
  <c r="T98" i="2" s="1"/>
  <c r="U98" i="2" s="1"/>
  <c r="N64" i="2"/>
  <c r="R64" i="2"/>
  <c r="S64" i="2" s="1"/>
  <c r="N60" i="2"/>
  <c r="R60" i="2"/>
  <c r="S60" i="2" s="1"/>
  <c r="K56" i="2"/>
  <c r="R56" i="2"/>
  <c r="S56" i="2" s="1"/>
  <c r="N52" i="2"/>
  <c r="R52" i="2"/>
  <c r="S52" i="2" s="1"/>
  <c r="N48" i="2"/>
  <c r="R48" i="2"/>
  <c r="S48" i="2" s="1"/>
  <c r="K43" i="2"/>
  <c r="R43" i="2"/>
  <c r="S43" i="2" s="1"/>
  <c r="N39" i="2"/>
  <c r="R39" i="2"/>
  <c r="S39" i="2" s="1"/>
  <c r="K23" i="2"/>
  <c r="R23" i="2"/>
  <c r="S23" i="2" s="1"/>
  <c r="N19" i="2"/>
  <c r="R19" i="2"/>
  <c r="S19" i="2" s="1"/>
  <c r="T19" i="2" s="1"/>
  <c r="N15" i="2"/>
  <c r="R15" i="2"/>
  <c r="S15" i="2" s="1"/>
  <c r="T15" i="2" s="1"/>
  <c r="K11" i="2"/>
  <c r="R11" i="2"/>
  <c r="S11" i="2" s="1"/>
  <c r="T11" i="2" s="1"/>
  <c r="V11" i="2" s="1"/>
  <c r="N45" i="2"/>
  <c r="N61" i="2"/>
  <c r="N44" i="2"/>
  <c r="N35" i="2"/>
  <c r="N105" i="2"/>
  <c r="N58" i="2"/>
  <c r="N21" i="2"/>
  <c r="N104" i="2"/>
  <c r="N88" i="2"/>
  <c r="N57" i="2"/>
  <c r="N107" i="2"/>
  <c r="N103" i="2"/>
  <c r="N87" i="2"/>
  <c r="N56" i="2"/>
  <c r="N43" i="2"/>
  <c r="N23" i="2"/>
  <c r="N11" i="2"/>
  <c r="N9" i="2"/>
  <c r="K8" i="2"/>
  <c r="N8" i="2"/>
  <c r="N106" i="2"/>
  <c r="N59" i="2"/>
  <c r="N47" i="2"/>
  <c r="N22" i="2"/>
  <c r="N10" i="2"/>
  <c r="G10" i="2"/>
  <c r="O102" i="2"/>
  <c r="K102" i="2"/>
  <c r="K101" i="2"/>
  <c r="K100" i="2"/>
  <c r="O99" i="2"/>
  <c r="K99" i="2"/>
  <c r="O98" i="2"/>
  <c r="K98" i="2"/>
  <c r="K65" i="2"/>
  <c r="K64" i="2"/>
  <c r="O63" i="2"/>
  <c r="K63" i="2"/>
  <c r="O62" i="2"/>
  <c r="K62" i="2"/>
  <c r="K60" i="2"/>
  <c r="K55" i="2"/>
  <c r="O55" i="2"/>
  <c r="K54" i="2"/>
  <c r="K53" i="2"/>
  <c r="O52" i="2"/>
  <c r="K52" i="2"/>
  <c r="K51" i="2"/>
  <c r="K50" i="2"/>
  <c r="K49" i="2"/>
  <c r="O49" i="2"/>
  <c r="K48" i="2"/>
  <c r="K42" i="2"/>
  <c r="O41" i="2"/>
  <c r="K41" i="2"/>
  <c r="K40" i="2"/>
  <c r="O39" i="2"/>
  <c r="K39" i="2"/>
  <c r="O38" i="2"/>
  <c r="K38" i="2"/>
  <c r="O37" i="2"/>
  <c r="K37" i="2"/>
  <c r="K20" i="2"/>
  <c r="O20" i="2"/>
  <c r="K19" i="2"/>
  <c r="O19" i="2"/>
  <c r="K18" i="2"/>
  <c r="O17" i="2"/>
  <c r="K17" i="2"/>
  <c r="K16" i="2"/>
  <c r="O15" i="2"/>
  <c r="K15" i="2"/>
  <c r="K14" i="2"/>
  <c r="K13" i="2"/>
  <c r="O13" i="2"/>
  <c r="O48" i="2"/>
  <c r="O87" i="2"/>
  <c r="O47" i="2"/>
  <c r="O45" i="2"/>
  <c r="O44" i="2"/>
  <c r="O12" i="2"/>
  <c r="O107" i="2"/>
  <c r="O61" i="2"/>
  <c r="O43" i="2"/>
  <c r="O11" i="2"/>
  <c r="O106" i="2"/>
  <c r="O60" i="2"/>
  <c r="O42" i="2"/>
  <c r="O10" i="2"/>
  <c r="O105" i="2"/>
  <c r="O59" i="2"/>
  <c r="O35" i="2"/>
  <c r="O9" i="2"/>
  <c r="O104" i="2"/>
  <c r="O58" i="2"/>
  <c r="O23" i="2"/>
  <c r="O103" i="2"/>
  <c r="O57" i="2"/>
  <c r="O22" i="2"/>
  <c r="O88" i="2"/>
  <c r="O56" i="2"/>
  <c r="O21" i="2"/>
  <c r="O101" i="2"/>
  <c r="O54" i="2"/>
  <c r="O18" i="2"/>
  <c r="O65" i="2"/>
  <c r="O53" i="2"/>
  <c r="O40" i="2"/>
  <c r="O100" i="2"/>
  <c r="O64" i="2"/>
  <c r="O16" i="2"/>
  <c r="O51" i="2"/>
  <c r="O50" i="2"/>
  <c r="O14" i="2"/>
  <c r="V12" i="2"/>
  <c r="V10" i="2"/>
  <c r="U10" i="2"/>
  <c r="U12" i="2"/>
  <c r="I61" i="2"/>
  <c r="I23" i="2"/>
  <c r="H65" i="2"/>
  <c r="H40" i="2"/>
  <c r="G104" i="2"/>
  <c r="G44" i="2"/>
  <c r="I12" i="2"/>
  <c r="I104" i="2"/>
  <c r="I53" i="2"/>
  <c r="H61" i="2"/>
  <c r="H44" i="2"/>
  <c r="H9" i="2"/>
  <c r="G61" i="2"/>
  <c r="G107" i="2"/>
  <c r="G103" i="2"/>
  <c r="G100" i="2"/>
  <c r="G64" i="2"/>
  <c r="G60" i="2"/>
  <c r="G56" i="2"/>
  <c r="G52" i="2"/>
  <c r="G48" i="2"/>
  <c r="G43" i="2"/>
  <c r="G39" i="2"/>
  <c r="G22" i="2"/>
  <c r="G19" i="2"/>
  <c r="G15" i="2"/>
  <c r="G12" i="2"/>
  <c r="I57" i="2"/>
  <c r="I40" i="2"/>
  <c r="H53" i="2"/>
  <c r="H20" i="2"/>
  <c r="H8" i="2"/>
  <c r="G57" i="2"/>
  <c r="G40" i="2"/>
  <c r="G20" i="2"/>
  <c r="G9" i="2"/>
  <c r="I100" i="2"/>
  <c r="I56" i="2"/>
  <c r="H107" i="2"/>
  <c r="H100" i="2"/>
  <c r="H56" i="2"/>
  <c r="H52" i="2"/>
  <c r="H43" i="2"/>
  <c r="H22" i="2"/>
  <c r="H15" i="2"/>
  <c r="I102" i="2"/>
  <c r="I99" i="2"/>
  <c r="I63" i="2"/>
  <c r="I59" i="2"/>
  <c r="I55" i="2"/>
  <c r="I51" i="2"/>
  <c r="I47" i="2"/>
  <c r="I42" i="2"/>
  <c r="I38" i="2"/>
  <c r="I21" i="2"/>
  <c r="I18" i="2"/>
  <c r="I14" i="2"/>
  <c r="I11" i="2"/>
  <c r="I65" i="2"/>
  <c r="I44" i="2"/>
  <c r="I16" i="2"/>
  <c r="H104" i="2"/>
  <c r="H57" i="2"/>
  <c r="H23" i="2"/>
  <c r="G65" i="2"/>
  <c r="G53" i="2"/>
  <c r="G23" i="2"/>
  <c r="I107" i="2"/>
  <c r="I64" i="2"/>
  <c r="I52" i="2"/>
  <c r="I43" i="2"/>
  <c r="I22" i="2"/>
  <c r="I15" i="2"/>
  <c r="H103" i="2"/>
  <c r="H64" i="2"/>
  <c r="H60" i="2"/>
  <c r="H48" i="2"/>
  <c r="H39" i="2"/>
  <c r="H19" i="2"/>
  <c r="H12" i="2"/>
  <c r="I106" i="2"/>
  <c r="H106" i="2"/>
  <c r="H102" i="2"/>
  <c r="H99" i="2"/>
  <c r="H63" i="2"/>
  <c r="H59" i="2"/>
  <c r="H55" i="2"/>
  <c r="H51" i="2"/>
  <c r="H47" i="2"/>
  <c r="H42" i="2"/>
  <c r="H38" i="2"/>
  <c r="H21" i="2"/>
  <c r="H18" i="2"/>
  <c r="H14" i="2"/>
  <c r="H11" i="2"/>
  <c r="G106" i="2"/>
  <c r="G102" i="2"/>
  <c r="G99" i="2"/>
  <c r="G63" i="2"/>
  <c r="G59" i="2"/>
  <c r="G55" i="2"/>
  <c r="G51" i="2"/>
  <c r="G47" i="2"/>
  <c r="G42" i="2"/>
  <c r="G38" i="2"/>
  <c r="G21" i="2"/>
  <c r="G18" i="2"/>
  <c r="G14" i="2"/>
  <c r="G11" i="2"/>
  <c r="G35" i="2"/>
  <c r="I101" i="2"/>
  <c r="I62" i="2"/>
  <c r="I54" i="2"/>
  <c r="I50" i="2"/>
  <c r="I41" i="2"/>
  <c r="I13" i="2"/>
  <c r="H35" i="2"/>
  <c r="H105" i="2"/>
  <c r="H101" i="2"/>
  <c r="H98" i="2"/>
  <c r="H62" i="2"/>
  <c r="H58" i="2"/>
  <c r="H54" i="2"/>
  <c r="H50" i="2"/>
  <c r="H45" i="2"/>
  <c r="H41" i="2"/>
  <c r="H37" i="2"/>
  <c r="H17" i="2"/>
  <c r="H13" i="2"/>
  <c r="H10" i="2"/>
  <c r="I35" i="2"/>
  <c r="I49" i="2"/>
  <c r="I20" i="2"/>
  <c r="H49" i="2"/>
  <c r="G49" i="2"/>
  <c r="G16" i="2"/>
  <c r="I103" i="2"/>
  <c r="I60" i="2"/>
  <c r="I48" i="2"/>
  <c r="I39" i="2"/>
  <c r="I19" i="2"/>
  <c r="I105" i="2"/>
  <c r="I98" i="2"/>
  <c r="I58" i="2"/>
  <c r="I45" i="2"/>
  <c r="I37" i="2"/>
  <c r="I17" i="2"/>
  <c r="G105" i="2"/>
  <c r="G101" i="2"/>
  <c r="G98" i="2"/>
  <c r="G62" i="2"/>
  <c r="G58" i="2"/>
  <c r="G54" i="2"/>
  <c r="G50" i="2"/>
  <c r="G45" i="2"/>
  <c r="G41" i="2"/>
  <c r="G37" i="2"/>
  <c r="G17" i="2"/>
  <c r="G13" i="2"/>
  <c r="U13" i="2" l="1"/>
  <c r="V8" i="2"/>
  <c r="L113" i="2"/>
  <c r="M113" i="2"/>
  <c r="K113" i="2"/>
  <c r="U16" i="2"/>
  <c r="U14" i="2"/>
  <c r="O113" i="2"/>
  <c r="H200" i="2"/>
  <c r="I200" i="2" s="1"/>
  <c r="V9" i="2"/>
  <c r="U11" i="2"/>
  <c r="N113" i="2"/>
  <c r="R113" i="2" s="1"/>
  <c r="V17" i="2"/>
  <c r="H201" i="2"/>
  <c r="I201" i="2" s="1"/>
  <c r="H205" i="2"/>
  <c r="I205" i="2" s="1"/>
  <c r="H206" i="2"/>
  <c r="I206" i="2" s="1"/>
  <c r="V98" i="2"/>
  <c r="H198" i="2"/>
  <c r="I198" i="2" s="1"/>
  <c r="H199" i="2"/>
  <c r="I199" i="2" s="1"/>
  <c r="H203" i="2"/>
  <c r="I203" i="2" s="1"/>
  <c r="H202" i="2"/>
  <c r="I202" i="2" s="1"/>
  <c r="H204" i="2"/>
  <c r="I204" i="2" s="1"/>
  <c r="H197" i="2"/>
  <c r="I197" i="2" s="1"/>
  <c r="H122" i="2"/>
  <c r="H119" i="2"/>
  <c r="I119" i="2" s="1"/>
  <c r="H167" i="2"/>
  <c r="I167" i="2" s="1"/>
  <c r="H166" i="2"/>
  <c r="I166" i="2" s="1"/>
  <c r="H162" i="2"/>
  <c r="I162" i="2" s="1"/>
  <c r="H161" i="2"/>
  <c r="I161" i="2" s="1"/>
  <c r="H165" i="2"/>
  <c r="I165" i="2" s="1"/>
  <c r="H168" i="2"/>
  <c r="I168" i="2" s="1"/>
  <c r="H164" i="2"/>
  <c r="I164" i="2" s="1"/>
  <c r="H160" i="2"/>
  <c r="I160" i="2" s="1"/>
  <c r="H163" i="2"/>
  <c r="I163" i="2" s="1"/>
  <c r="H159" i="2"/>
  <c r="I159" i="2" s="1"/>
  <c r="H120" i="2"/>
  <c r="I120" i="2" s="1"/>
  <c r="H121" i="2"/>
  <c r="I121" i="2" s="1"/>
  <c r="H123" i="2"/>
  <c r="I123" i="2" s="1"/>
  <c r="H125" i="2"/>
  <c r="I125" i="2" s="1"/>
  <c r="H124" i="2"/>
  <c r="I124" i="2" s="1"/>
  <c r="H126" i="2"/>
  <c r="I126" i="2" s="1"/>
  <c r="H117" i="2"/>
  <c r="I117" i="2" s="1"/>
  <c r="H118" i="2"/>
  <c r="I118" i="2" s="1"/>
  <c r="I122" i="2"/>
  <c r="U15" i="2"/>
  <c r="V15" i="2"/>
  <c r="U18" i="2"/>
  <c r="V18" i="2"/>
  <c r="U20" i="2"/>
  <c r="V20" i="2"/>
  <c r="U21" i="2"/>
  <c r="V21" i="2"/>
  <c r="U19" i="2"/>
  <c r="V19" i="2"/>
  <c r="T22" i="2"/>
  <c r="T23" i="2"/>
  <c r="T35" i="2"/>
  <c r="U35" i="2" l="1"/>
  <c r="V35" i="2"/>
  <c r="U23" i="2"/>
  <c r="V23" i="2"/>
  <c r="U22" i="2"/>
  <c r="V22" i="2"/>
  <c r="T37" i="2" l="1"/>
  <c r="T38" i="2"/>
  <c r="T40" i="2"/>
  <c r="T39" i="2"/>
  <c r="U39" i="2" l="1"/>
  <c r="V39" i="2"/>
  <c r="U40" i="2"/>
  <c r="V40" i="2"/>
  <c r="U38" i="2"/>
  <c r="V38" i="2"/>
  <c r="U37" i="2"/>
  <c r="V37" i="2"/>
  <c r="T43" i="2"/>
  <c r="T42" i="2"/>
  <c r="T41" i="2"/>
  <c r="U41" i="2" l="1"/>
  <c r="V41" i="2"/>
  <c r="U42" i="2"/>
  <c r="V42" i="2"/>
  <c r="U43" i="2"/>
  <c r="V43" i="2"/>
  <c r="T48" i="2"/>
  <c r="T44" i="2"/>
  <c r="T45" i="2"/>
  <c r="T47" i="2"/>
  <c r="U47" i="2" l="1"/>
  <c r="V47" i="2"/>
  <c r="U44" i="2"/>
  <c r="V44" i="2"/>
  <c r="U45" i="2"/>
  <c r="V45" i="2"/>
  <c r="U48" i="2"/>
  <c r="V48" i="2"/>
  <c r="T50" i="2"/>
  <c r="T51" i="2"/>
  <c r="T49" i="2"/>
  <c r="U49" i="2" l="1"/>
  <c r="V49" i="2"/>
  <c r="U51" i="2"/>
  <c r="V51" i="2"/>
  <c r="U50" i="2"/>
  <c r="V50" i="2"/>
  <c r="T54" i="2"/>
  <c r="T53" i="2"/>
  <c r="T55" i="2"/>
  <c r="T52" i="2"/>
  <c r="U52" i="2" l="1"/>
  <c r="V52" i="2"/>
  <c r="U55" i="2"/>
  <c r="V55" i="2"/>
  <c r="U54" i="2"/>
  <c r="V54" i="2"/>
  <c r="U53" i="2"/>
  <c r="V53" i="2"/>
  <c r="T56" i="2"/>
  <c r="T59" i="2"/>
  <c r="T57" i="2"/>
  <c r="T58" i="2"/>
  <c r="U58" i="2" l="1"/>
  <c r="V58" i="2"/>
  <c r="U57" i="2"/>
  <c r="V57" i="2"/>
  <c r="U59" i="2"/>
  <c r="V59" i="2"/>
  <c r="U56" i="2"/>
  <c r="V56" i="2"/>
  <c r="T62" i="2"/>
  <c r="T61" i="2"/>
  <c r="T63" i="2"/>
  <c r="T60" i="2"/>
  <c r="U61" i="2" l="1"/>
  <c r="V61" i="2"/>
  <c r="U60" i="2"/>
  <c r="V60" i="2"/>
  <c r="U63" i="2"/>
  <c r="V63" i="2"/>
  <c r="U62" i="2"/>
  <c r="V62" i="2"/>
  <c r="T64" i="2"/>
  <c r="T65" i="2"/>
  <c r="U65" i="2" l="1"/>
  <c r="V65" i="2"/>
  <c r="U64" i="2"/>
  <c r="V64" i="2"/>
  <c r="T88" i="2" l="1"/>
  <c r="T87" i="2"/>
  <c r="U87" i="2" l="1"/>
  <c r="V87" i="2"/>
  <c r="U88" i="2"/>
  <c r="V88" i="2"/>
  <c r="T99" i="2"/>
  <c r="T100" i="2"/>
  <c r="U100" i="2" l="1"/>
  <c r="V100" i="2"/>
  <c r="U99" i="2"/>
  <c r="V99" i="2"/>
  <c r="T106" i="2"/>
  <c r="T101" i="2"/>
  <c r="T104" i="2"/>
  <c r="T102" i="2"/>
  <c r="T105" i="2"/>
  <c r="U106" i="2" l="1"/>
  <c r="V106" i="2"/>
  <c r="U105" i="2"/>
  <c r="V105" i="2"/>
  <c r="U102" i="2"/>
  <c r="V102" i="2"/>
  <c r="U101" i="2"/>
  <c r="V101" i="2"/>
  <c r="U104" i="2"/>
  <c r="V104" i="2"/>
  <c r="T103" i="2"/>
  <c r="T107" i="2"/>
  <c r="U103" i="2" l="1"/>
  <c r="V103" i="2"/>
  <c r="U107" i="2"/>
  <c r="V10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tc={9C4B5A3B-ECA5-4903-96FF-931F68D9E115}</author>
    <author>tc={E0D2ACBA-B604-4D62-ADF3-96656FDE389F}</author>
    <author>tc={6694FFF5-D8AD-45EA-AAE1-381A5AD82964}</author>
    <author>dvsar</author>
  </authors>
  <commentList>
    <comment ref="K6" authorId="0" shapeId="0" xr:uid="{9C4B5A3B-ECA5-4903-96FF-931F68D9E1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para probeta tipo V, es decir un gauge de 7.62mm. Esta velocidad solo se aplica a este tipo de probetas según la norma.</t>
      </text>
    </comment>
    <comment ref="L6" authorId="1" shapeId="0" xr:uid="{E0D2ACBA-B604-4D62-ADF3-96656FDE3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para probeta tipo V, es decir un gauge de 7.62mm. Esta velocidad solo se aplica a este tipo de probetas según la norma.</t>
      </text>
    </comment>
    <comment ref="M6" authorId="2" shapeId="0" xr:uid="{6694FFF5-D8AD-45EA-AAE1-381A5AD829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para probeta tipo V, es decir un gauge de 7.62mm. Esta velocidad solo se aplica a este tipo de probetas según la norma.</t>
      </text>
    </comment>
    <comment ref="E22" authorId="3" shapeId="0" xr:uid="{365D74E0-E443-4D96-81E4-C6AA5126F65F}">
      <text>
        <r>
          <rPr>
            <b/>
            <sz val="9"/>
            <color indexed="81"/>
            <rFont val="Tahoma"/>
            <family val="2"/>
          </rPr>
          <t>dvsar:</t>
        </r>
        <r>
          <rPr>
            <sz val="9"/>
            <color indexed="81"/>
            <rFont val="Tahoma"/>
            <family val="2"/>
          </rPr>
          <t xml:space="preserve">
tomar con pinzas</t>
        </r>
      </text>
    </comment>
  </commentList>
</comments>
</file>

<file path=xl/sharedStrings.xml><?xml version="1.0" encoding="utf-8"?>
<sst xmlns="http://schemas.openxmlformats.org/spreadsheetml/2006/main" count="259" uniqueCount="188">
  <si>
    <t>ASTM D638</t>
  </si>
  <si>
    <t>Probetas</t>
  </si>
  <si>
    <t>Type I</t>
  </si>
  <si>
    <t>Type II</t>
  </si>
  <si>
    <t>Type III</t>
  </si>
  <si>
    <t>Type IV</t>
  </si>
  <si>
    <t>Type V</t>
  </si>
  <si>
    <t>Thickness</t>
  </si>
  <si>
    <t>Width</t>
  </si>
  <si>
    <t>Length</t>
  </si>
  <si>
    <t>Seccion</t>
  </si>
  <si>
    <t>[mm] extras al</t>
  </si>
  <si>
    <t>MP</t>
  </si>
  <si>
    <t>NORMAS</t>
  </si>
  <si>
    <t>Valores mecánicos de diferentes plásticos</t>
  </si>
  <si>
    <t>gauge para toma</t>
  </si>
  <si>
    <t>ISO 527</t>
  </si>
  <si>
    <t>Se tomarán de cada datasheets los valores máximos</t>
  </si>
  <si>
    <t>(1% of strain) Class C</t>
  </si>
  <si>
    <t>extensometer</t>
  </si>
  <si>
    <t>Long. final</t>
  </si>
  <si>
    <t>Plano vertical</t>
  </si>
  <si>
    <t>Tamaño del</t>
  </si>
  <si>
    <t>Cumple  el</t>
  </si>
  <si>
    <t>Cant. de</t>
  </si>
  <si>
    <t>ASTM D882</t>
  </si>
  <si>
    <t>Tensión</t>
  </si>
  <si>
    <t>Tiempo a 5mm/min</t>
  </si>
  <si>
    <t>Def. Máx de Máq.</t>
  </si>
  <si>
    <t>Gauge</t>
  </si>
  <si>
    <t>toma cámara</t>
  </si>
  <si>
    <t>pxel [mm]</t>
  </si>
  <si>
    <t>extens.</t>
  </si>
  <si>
    <t>pixels en</t>
  </si>
  <si>
    <t>Material</t>
  </si>
  <si>
    <t xml:space="preserve"> [MPA]</t>
  </si>
  <si>
    <t>Probeta</t>
  </si>
  <si>
    <t>E [MPA]</t>
  </si>
  <si>
    <t>e [%]</t>
  </si>
  <si>
    <t xml:space="preserve"> 1% e [mm]</t>
  </si>
  <si>
    <t>Clase C?</t>
  </si>
  <si>
    <t>ese 1%</t>
  </si>
  <si>
    <t>Grilon 3</t>
  </si>
  <si>
    <t>PLA (ingeo)</t>
  </si>
  <si>
    <t>PLA 850 (ingeo)</t>
  </si>
  <si>
    <t>PLA 870 (ingeo)</t>
  </si>
  <si>
    <t>ABS</t>
  </si>
  <si>
    <t>PETG</t>
  </si>
  <si>
    <t>NYLON 12 (Grilon EMS)</t>
  </si>
  <si>
    <t>ACETAL</t>
  </si>
  <si>
    <t>HIPS</t>
  </si>
  <si>
    <t>Printalot</t>
  </si>
  <si>
    <t>PLA</t>
  </si>
  <si>
    <t>PLA 3Di</t>
  </si>
  <si>
    <t>PLA MAX</t>
  </si>
  <si>
    <t>PC</t>
  </si>
  <si>
    <t>PC/ABS</t>
  </si>
  <si>
    <t>3D System</t>
  </si>
  <si>
    <t>Duraform GF</t>
  </si>
  <si>
    <t>Stratasys</t>
  </si>
  <si>
    <t>Nylon 12 CF</t>
  </si>
  <si>
    <t>ULTEM 9085 resin</t>
  </si>
  <si>
    <t>MatterHackers</t>
  </si>
  <si>
    <t>NylonG (fibra de vidrio)</t>
  </si>
  <si>
    <t>NylonX (F. de Carbono)</t>
  </si>
  <si>
    <t>Nylon (Pro Series)</t>
  </si>
  <si>
    <t>PETG (Pro Series)</t>
  </si>
  <si>
    <t>PETG (Pro Ryno)</t>
  </si>
  <si>
    <t>PRO ABS</t>
  </si>
  <si>
    <t>Protolabs</t>
  </si>
  <si>
    <t>PA 12 Carbon Filled</t>
  </si>
  <si>
    <t>PA 12 / HP - MJF</t>
  </si>
  <si>
    <t>PA 12 / EOS PA 2200 - Polvo</t>
  </si>
  <si>
    <t>EOS PA 1102 - Polvo</t>
  </si>
  <si>
    <t>PA 12 FLEX - Polvo</t>
  </si>
  <si>
    <t>PA 12 / GF40 - Polvo</t>
  </si>
  <si>
    <t>PA66 / GF30 - CNC</t>
  </si>
  <si>
    <t>PC Accura - Resina</t>
  </si>
  <si>
    <t>ABS Grey - Resina</t>
  </si>
  <si>
    <t>ABS Trans - Resina</t>
  </si>
  <si>
    <t>ABS Accura Xtreme - Resina</t>
  </si>
  <si>
    <t>ABS Accura 7820 - Resina</t>
  </si>
  <si>
    <t>Ceramic - Resina</t>
  </si>
  <si>
    <t>MicroFine - Resina</t>
  </si>
  <si>
    <t>Microfine Green - Resina</t>
  </si>
  <si>
    <t>PEEK / FR &amp; FDA - CNC</t>
  </si>
  <si>
    <t>PTFE / FR &amp; UV - CNC</t>
  </si>
  <si>
    <t>Ultimaker</t>
  </si>
  <si>
    <t>CPE+</t>
  </si>
  <si>
    <t>Nylon</t>
  </si>
  <si>
    <t>Tough PLA</t>
  </si>
  <si>
    <t>Kodak</t>
  </si>
  <si>
    <t>PLA+</t>
  </si>
  <si>
    <t>PLA Tough</t>
  </si>
  <si>
    <t>ABS - BNC 3D</t>
  </si>
  <si>
    <t>Otras</t>
  </si>
  <si>
    <t>ABS Fusion - BASF</t>
  </si>
  <si>
    <t>Marcas</t>
  </si>
  <si>
    <t>PETG - Monocure 3D</t>
  </si>
  <si>
    <t>PP GF30 - Innofil 3D</t>
  </si>
  <si>
    <t>PEEK ThermaX - 3DxTech</t>
  </si>
  <si>
    <t>HDPE HMA 016 - Exxon</t>
  </si>
  <si>
    <t>1A</t>
  </si>
  <si>
    <t>LDPE LD 600BA - Exxon</t>
  </si>
  <si>
    <t>Ultem 1010 - Postnord</t>
  </si>
  <si>
    <t>Ultem 1000 - Sabic</t>
  </si>
  <si>
    <t>Polyphenylsulfone - Redel R5500</t>
  </si>
  <si>
    <t>Loctite</t>
  </si>
  <si>
    <t>3D 3843 - Resina</t>
  </si>
  <si>
    <t>3D IND403 - Resina</t>
  </si>
  <si>
    <t>3D IND405 - Resina</t>
  </si>
  <si>
    <t>3D IND406 - Resina</t>
  </si>
  <si>
    <t>3D PRO410 - Resina</t>
  </si>
  <si>
    <t>3D PRO3860 - Resina</t>
  </si>
  <si>
    <t>3D PRO3395 - Resina</t>
  </si>
  <si>
    <t>3D IND147 - Resina</t>
  </si>
  <si>
    <t>3D PRO3172 - Resina</t>
  </si>
  <si>
    <t>SLA (resina)</t>
  </si>
  <si>
    <t>Nylon 12</t>
  </si>
  <si>
    <t>DuraFor ProX PA - Polvo</t>
  </si>
  <si>
    <t>Figure 4 TOUGH-GRY 15 - Resina</t>
  </si>
  <si>
    <t>Figure 4 Gris Rígido - Resina</t>
  </si>
  <si>
    <t>Figure 4 TOUGH-BLK 20</t>
  </si>
  <si>
    <t>DuraForm FR1200 - Resina</t>
  </si>
  <si>
    <t>DuraForm® PA Plastic - Resina</t>
  </si>
  <si>
    <t>Accura Composite PIV - Resina</t>
  </si>
  <si>
    <t>Accura Fidelity - Resina</t>
  </si>
  <si>
    <t>Accura 60 - Resina</t>
  </si>
  <si>
    <t>Accura ClearVue - Resina</t>
  </si>
  <si>
    <t>Deformacion a la rotura</t>
  </si>
  <si>
    <t>Accura AMX Durable Natural - Resina</t>
  </si>
  <si>
    <t>RYNO</t>
  </si>
  <si>
    <t>Siraya Tech</t>
  </si>
  <si>
    <t>Fibreheart PPA-CF</t>
  </si>
  <si>
    <t>ABS-Like - Resina</t>
  </si>
  <si>
    <t>1B</t>
  </si>
  <si>
    <t>PA6-GF</t>
  </si>
  <si>
    <t>ABS-GF</t>
  </si>
  <si>
    <t>PA6-CF</t>
  </si>
  <si>
    <t>PAHT-CF</t>
  </si>
  <si>
    <t>PET-CF</t>
  </si>
  <si>
    <t>PPS-CF</t>
  </si>
  <si>
    <t>ASA-CF</t>
  </si>
  <si>
    <t>PPA-CF</t>
  </si>
  <si>
    <t>PC FR</t>
  </si>
  <si>
    <t>PETG HF</t>
  </si>
  <si>
    <t>PLA Basic</t>
  </si>
  <si>
    <t>PLA-CF</t>
  </si>
  <si>
    <t>Bambu Lab</t>
  </si>
  <si>
    <t>Blu Tough</t>
  </si>
  <si>
    <t>[kN]</t>
  </si>
  <si>
    <t>Fuerza de Traccion [kg]</t>
  </si>
  <si>
    <t>Tiempo a 1[mm/min]</t>
  </si>
  <si>
    <t>Tiempo a 50[mm/min]</t>
  </si>
  <si>
    <t>% de plásticos que se pueden ensayar para probeta Tipo I e=4[mm]</t>
  </si>
  <si>
    <t>% a 1 kn</t>
  </si>
  <si>
    <t>% a 2 kn</t>
  </si>
  <si>
    <t>% a 3 kn</t>
  </si>
  <si>
    <t>% a 4 kn</t>
  </si>
  <si>
    <t>% a 5 kn</t>
  </si>
  <si>
    <t>% a 6 kn</t>
  </si>
  <si>
    <t>% a 8 kn</t>
  </si>
  <si>
    <t>% a 9 kn</t>
  </si>
  <si>
    <t>% a 10 kn</t>
  </si>
  <si>
    <t>% a 7 kn</t>
  </si>
  <si>
    <t>% de plásticos que se pueden ensayar para probeta Tipo II e=4[mm]</t>
  </si>
  <si>
    <t>% de plásticos que se pueden ensayar para probeta Tipo III e=4[mm]</t>
  </si>
  <si>
    <t>[mm] traccionado en Tipo I</t>
  </si>
  <si>
    <t>Tipo III</t>
  </si>
  <si>
    <t>Tipo II</t>
  </si>
  <si>
    <t>Tipo I</t>
  </si>
  <si>
    <t>Tipo IV</t>
  </si>
  <si>
    <t>Marca</t>
  </si>
  <si>
    <t>1 [MPA] = 0.1019716212978 [kg/mm2] = 1[N/mm2]</t>
  </si>
  <si>
    <t>Tiempo de ensayo [min]</t>
  </si>
  <si>
    <t>van a 5[mm/min]</t>
  </si>
  <si>
    <t>*No cunplen</t>
  </si>
  <si>
    <r>
      <t xml:space="preserve">1[mm/min] </t>
    </r>
    <r>
      <rPr>
        <sz val="11"/>
        <color theme="1"/>
        <rFont val="Aptos Narrow"/>
        <family val="2"/>
      </rPr>
      <t>± 25%</t>
    </r>
  </si>
  <si>
    <t>5[mm/min] ± 25%</t>
  </si>
  <si>
    <t>50[mm/min] ± 10%</t>
  </si>
  <si>
    <t>Tiempo a 10[mm/min]</t>
  </si>
  <si>
    <t>Tiempo a 100[mm/min]</t>
  </si>
  <si>
    <t>Probeta tipo V</t>
  </si>
  <si>
    <t>Probeta tipo I,II,II,IV</t>
  </si>
  <si>
    <t>10[mm/min] ± 25%</t>
  </si>
  <si>
    <t>100[mm/min] ± 25%</t>
  </si>
  <si>
    <t>Tiempo a 500[mm/min]</t>
  </si>
  <si>
    <t>500[mm/min] ±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</si>
</sst>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339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ourier New"/>
      <family val="3"/>
    </font>
    <font>
      <sz val="11"/>
      <color theme="1"/>
      <name val="Aptos Narrow"/>
      <family val="2"/>
    </font>
    <font>
      <b/>
      <sz val="14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1" fillId="1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/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12" borderId="0" xfId="0" applyFill="1"/>
    <xf numFmtId="0" fontId="10" fillId="8" borderId="1" xfId="0" applyFont="1" applyFill="1" applyBorder="1" applyAlignment="1">
      <alignment horizontal="center"/>
    </xf>
    <xf numFmtId="0" fontId="1" fillId="8" borderId="0" xfId="0" applyFont="1" applyFill="1"/>
    <xf numFmtId="0" fontId="1" fillId="10" borderId="0" xfId="0" applyFont="1" applyFill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166" fontId="0" fillId="0" borderId="1" xfId="0" applyNumberFormat="1" applyBorder="1"/>
    <xf numFmtId="0" fontId="0" fillId="10" borderId="0" xfId="0" applyFill="1"/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11" fillId="0" borderId="0" xfId="0" applyNumberFormat="1" applyFont="1"/>
    <xf numFmtId="1" fontId="0" fillId="0" borderId="0" xfId="0" applyNumberFormat="1"/>
    <xf numFmtId="1" fontId="11" fillId="0" borderId="0" xfId="0" applyNumberFormat="1" applyFont="1" applyAlignment="1">
      <alignment horizontal="center"/>
    </xf>
    <xf numFmtId="0" fontId="0" fillId="0" borderId="0" xfId="0" applyAlignment="1">
      <alignment horizontal="center" textRotation="90"/>
    </xf>
    <xf numFmtId="1" fontId="0" fillId="0" borderId="0" xfId="0" applyNumberFormat="1" applyAlignment="1">
      <alignment horizontal="center"/>
    </xf>
    <xf numFmtId="0" fontId="1" fillId="8" borderId="0" xfId="0" applyFont="1" applyFill="1" applyAlignment="1">
      <alignment horizontal="center" vertical="center"/>
    </xf>
    <xf numFmtId="164" fontId="0" fillId="0" borderId="6" xfId="0" applyNumberFormat="1" applyBorder="1"/>
    <xf numFmtId="164" fontId="0" fillId="9" borderId="6" xfId="0" applyNumberFormat="1" applyFill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15" xfId="0" applyNumberFormat="1" applyBorder="1"/>
    <xf numFmtId="2" fontId="0" fillId="0" borderId="25" xfId="0" applyNumberFormat="1" applyBorder="1"/>
    <xf numFmtId="2" fontId="0" fillId="13" borderId="20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26" xfId="0" applyBorder="1"/>
    <xf numFmtId="0" fontId="0" fillId="0" borderId="14" xfId="0" applyBorder="1" applyAlignment="1">
      <alignment horizontal="center" vertical="center"/>
    </xf>
    <xf numFmtId="0" fontId="0" fillId="0" borderId="27" xfId="0" applyBorder="1"/>
    <xf numFmtId="0" fontId="0" fillId="0" borderId="28" xfId="0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14" borderId="7" xfId="0" applyFont="1" applyFill="1" applyBorder="1" applyAlignment="1">
      <alignment horizontal="justify" vertical="center"/>
    </xf>
    <xf numFmtId="0" fontId="1" fillId="14" borderId="8" xfId="0" applyFont="1" applyFill="1" applyBorder="1" applyAlignment="1">
      <alignment horizontal="justify" vertical="center"/>
    </xf>
    <xf numFmtId="0" fontId="1" fillId="14" borderId="2" xfId="0" applyFont="1" applyFill="1" applyBorder="1" applyAlignment="1">
      <alignment horizontal="justify" vertical="center"/>
    </xf>
    <xf numFmtId="0" fontId="1" fillId="14" borderId="14" xfId="0" applyFont="1" applyFill="1" applyBorder="1" applyAlignment="1">
      <alignment horizontal="justify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14" borderId="11" xfId="0" applyFont="1" applyFill="1" applyBorder="1" applyAlignment="1">
      <alignment horizontal="center"/>
    </xf>
    <xf numFmtId="0" fontId="13" fillId="14" borderId="12" xfId="0" applyFont="1" applyFill="1" applyBorder="1" applyAlignment="1">
      <alignment horizontal="center"/>
    </xf>
    <xf numFmtId="0" fontId="13" fillId="14" borderId="13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justify" vertical="center"/>
    </xf>
    <xf numFmtId="0" fontId="1" fillId="14" borderId="19" xfId="0" applyFont="1" applyFill="1" applyBorder="1" applyAlignment="1">
      <alignment horizontal="justify" vertical="center"/>
    </xf>
    <xf numFmtId="0" fontId="1" fillId="14" borderId="16" xfId="0" applyFont="1" applyFill="1" applyBorder="1" applyAlignment="1">
      <alignment horizontal="justify" vertical="center"/>
    </xf>
    <xf numFmtId="0" fontId="1" fillId="14" borderId="18" xfId="0" applyFont="1" applyFill="1" applyBorder="1" applyAlignment="1">
      <alignment horizontal="justify" vertical="center"/>
    </xf>
    <xf numFmtId="0" fontId="1" fillId="8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8" borderId="7" xfId="0" applyFont="1" applyFill="1" applyBorder="1" applyAlignment="1">
      <alignment horizontal="justify"/>
    </xf>
    <xf numFmtId="0" fontId="1" fillId="8" borderId="8" xfId="0" applyFont="1" applyFill="1" applyBorder="1" applyAlignment="1">
      <alignment horizontal="justify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% de plásticos posibles de ensayar por [kN] </a:t>
            </a:r>
          </a:p>
          <a:p>
            <a:pPr>
              <a:defRPr/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para probeta Tipo I e=4[mm]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Plásticos!$F$117:$G$126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Plásticos!$H$117:$H$126</c:f>
              <c:numCache>
                <c:formatCode>0</c:formatCode>
                <c:ptCount val="10"/>
                <c:pt idx="0">
                  <c:v>2</c:v>
                </c:pt>
                <c:pt idx="1">
                  <c:v>24</c:v>
                </c:pt>
                <c:pt idx="2">
                  <c:v>66</c:v>
                </c:pt>
                <c:pt idx="3">
                  <c:v>85</c:v>
                </c:pt>
                <c:pt idx="4">
                  <c:v>93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Tensión en [kN]</c:v>
                </c15:tx>
              </c15:filteredSeriesTitle>
            </c:ext>
            <c:ext xmlns:c16="http://schemas.microsoft.com/office/drawing/2014/chart" uri="{C3380CC4-5D6E-409C-BE32-E72D297353CC}">
              <c16:uniqueId val="{00000000-40FD-4247-9BC0-2207466B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303264"/>
        <c:axId val="1479321024"/>
      </c:lineChart>
      <c:catAx>
        <c:axId val="14793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21024"/>
        <c:crossesAt val="0"/>
        <c:auto val="1"/>
        <c:lblAlgn val="ctr"/>
        <c:lblOffset val="100"/>
        <c:noMultiLvlLbl val="0"/>
      </c:catAx>
      <c:valAx>
        <c:axId val="1479321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032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% de plásticos posibles de ensayar por [kN] </a:t>
            </a:r>
          </a:p>
          <a:p>
            <a:pPr>
              <a:defRPr/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para probeta Tipo II e=4[mm]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Plásticos!$F$159:$G$168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Plásticos!$H$159:$H$168</c:f>
              <c:numCache>
                <c:formatCode>0.00</c:formatCode>
                <c:ptCount val="10"/>
                <c:pt idx="0">
                  <c:v>33</c:v>
                </c:pt>
                <c:pt idx="1">
                  <c:v>87</c:v>
                </c:pt>
                <c:pt idx="2">
                  <c:v>99</c:v>
                </c:pt>
                <c:pt idx="3">
                  <c:v>99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Tensión en [kN]</c:v>
                </c15:tx>
              </c15:filteredSeriesTitle>
            </c:ext>
            <c:ext xmlns:c16="http://schemas.microsoft.com/office/drawing/2014/chart" uri="{C3380CC4-5D6E-409C-BE32-E72D297353CC}">
              <c16:uniqueId val="{00000000-8FA9-4481-9DF8-9072BA92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303264"/>
        <c:axId val="1479321024"/>
      </c:lineChart>
      <c:catAx>
        <c:axId val="14793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21024"/>
        <c:crossesAt val="0"/>
        <c:auto val="1"/>
        <c:lblAlgn val="ctr"/>
        <c:lblOffset val="100"/>
        <c:noMultiLvlLbl val="0"/>
      </c:catAx>
      <c:valAx>
        <c:axId val="1479321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032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% de plásticos posibles de ensayar por [kN] </a:t>
            </a:r>
          </a:p>
          <a:p>
            <a:pPr>
              <a:defRPr/>
            </a:pPr>
            <a:r>
              <a:rPr lang="es-AR" sz="1400" b="0">
                <a:solidFill>
                  <a:schemeClr val="bg1">
                    <a:lumMod val="50000"/>
                  </a:schemeClr>
                </a:solidFill>
                <a:latin typeface="+mn-lt"/>
              </a:rPr>
              <a:t>para probeta Tipo II e=4[mm]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Plásticos!$G$197:$G$206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Plásticos!$H$197:$H$206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23</c:v>
                </c:pt>
                <c:pt idx="5">
                  <c:v>39</c:v>
                </c:pt>
                <c:pt idx="6">
                  <c:v>55.000000000000007</c:v>
                </c:pt>
                <c:pt idx="7">
                  <c:v>69</c:v>
                </c:pt>
                <c:pt idx="8">
                  <c:v>75</c:v>
                </c:pt>
                <c:pt idx="9">
                  <c:v>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Tensión en [kN]</c:v>
                </c15:tx>
              </c15:filteredSeriesTitle>
            </c:ext>
            <c:ext xmlns:c16="http://schemas.microsoft.com/office/drawing/2014/chart" uri="{C3380CC4-5D6E-409C-BE32-E72D297353CC}">
              <c16:uniqueId val="{00000000-8866-4107-AB30-11FFE27EF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303264"/>
        <c:axId val="1479321024"/>
      </c:lineChart>
      <c:catAx>
        <c:axId val="14793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21024"/>
        <c:crossesAt val="0"/>
        <c:auto val="1"/>
        <c:lblAlgn val="ctr"/>
        <c:lblOffset val="100"/>
        <c:noMultiLvlLbl val="0"/>
      </c:catAx>
      <c:valAx>
        <c:axId val="1479321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93032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chemeClr val="bg1">
                    <a:lumMod val="50000"/>
                  </a:schemeClr>
                </a:solidFill>
              </a:rPr>
              <a:t>% de plasticos que</a:t>
            </a:r>
            <a:r>
              <a:rPr lang="es-AR" baseline="0">
                <a:solidFill>
                  <a:schemeClr val="bg1">
                    <a:lumMod val="50000"/>
                  </a:schemeClr>
                </a:solidFill>
              </a:rPr>
              <a:t> se pueden ensayar a diferentes velocidades</a:t>
            </a:r>
            <a:endParaRPr lang="es-AR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Plásticos!$K$112:$R$112</c:f>
              <c:strCache>
                <c:ptCount val="8"/>
                <c:pt idx="0">
                  <c:v>1[mm/min] ± 25%</c:v>
                </c:pt>
                <c:pt idx="1">
                  <c:v>10[mm/min] ± 25%</c:v>
                </c:pt>
                <c:pt idx="2">
                  <c:v>100[mm/min] ± 25%</c:v>
                </c:pt>
                <c:pt idx="3">
                  <c:v>5[mm/min] ± 25%</c:v>
                </c:pt>
                <c:pt idx="4">
                  <c:v>50[mm/min] ± 10%</c:v>
                </c:pt>
                <c:pt idx="5">
                  <c:v>500[mm/min] ± 10%</c:v>
                </c:pt>
                <c:pt idx="6">
                  <c:v>*No cunplen</c:v>
                </c:pt>
                <c:pt idx="7">
                  <c:v>van a 5[mm/min]</c:v>
                </c:pt>
              </c:strCache>
            </c:strRef>
          </c:cat>
          <c:val>
            <c:numRef>
              <c:f>Plásticos!$K$113:$R$113</c:f>
              <c:numCache>
                <c:formatCode>0</c:formatCode>
                <c:ptCount val="8"/>
                <c:pt idx="0">
                  <c:v>59</c:v>
                </c:pt>
                <c:pt idx="1">
                  <c:v>19</c:v>
                </c:pt>
                <c:pt idx="2">
                  <c:v>0</c:v>
                </c:pt>
                <c:pt idx="3">
                  <c:v>64</c:v>
                </c:pt>
                <c:pt idx="4">
                  <c:v>21</c:v>
                </c:pt>
                <c:pt idx="5">
                  <c:v>0</c:v>
                </c:pt>
                <c:pt idx="6" formatCode="General">
                  <c:v>20</c:v>
                </c:pt>
                <c:pt idx="7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0-4575-A2D8-A697BD9F1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41615"/>
        <c:axId val="116557935"/>
      </c:barChart>
      <c:catAx>
        <c:axId val="116541615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557935"/>
        <c:crosses val="autoZero"/>
        <c:auto val="1"/>
        <c:lblAlgn val="ctr"/>
        <c:lblOffset val="50"/>
        <c:noMultiLvlLbl val="0"/>
      </c:catAx>
      <c:valAx>
        <c:axId val="116557935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1"/>
        <c:majorTickMark val="in"/>
        <c:minorTickMark val="in"/>
        <c:tickLblPos val="low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54161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% de plasticos por rango de rotura a la tracción [kg]</a:t>
            </a:r>
          </a:p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para probeta Tipo I e=4[mm]</a:t>
            </a:r>
          </a:p>
        </cx:rich>
      </cx:tx>
    </cx:title>
    <cx:plotArea>
      <cx:plotAreaRegion>
        <cx:series layoutId="clusteredColumn" uniqueId="{79104382-65DD-484C-9B52-466F22800670}">
          <cx:tx>
            <cx:txData>
              <cx:f>_xlchart.v1.0</cx:f>
              <cx:v>Tipo I</cx:v>
            </cx:txData>
          </cx:tx>
          <cx:dataId val="0"/>
          <cx:layoutPr>
            <cx:binning intervalClosed="r" underflow="1000">
              <cx:binSize val="1000"/>
            </cx:binning>
          </cx:layoutPr>
        </cx:series>
      </cx:plotAreaRegion>
      <cx:axis id="0">
        <cx:catScaling gapWidth="0"/>
        <cx:majorTickMarks type="out"/>
        <cx:minorTickMarks type="out"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45"/>
        <cx:majorGridlines>
          <cx:spPr>
            <a:ln>
              <a:solidFill>
                <a:schemeClr val="bg2">
                  <a:lumMod val="75000"/>
                </a:schemeClr>
              </a:solidFill>
            </a:ln>
          </cx:spPr>
        </cx:majorGridlines>
        <cx:majorTickMarks type="in"/>
        <cx:minorTickMarks type="in"/>
        <cx:tickLabels/>
        <cx:numFmt formatCode="General" sourceLinked="0"/>
        <cx:spPr>
          <a:ln>
            <a:solidFill>
              <a:schemeClr val="bg1">
                <a:lumMod val="75000"/>
              </a:schemeClr>
            </a:solidFill>
          </a:ln>
        </cx:sp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% de plasticos por rango de rotura a la tracción [kg]</a:t>
            </a:r>
          </a:p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para probeta Tipo II e=4[mm]</a:t>
            </a:r>
          </a:p>
        </cx:rich>
      </cx:tx>
    </cx:title>
    <cx:plotArea>
      <cx:plotAreaRegion>
        <cx:series layoutId="clusteredColumn" uniqueId="{79104382-65DD-484C-9B52-466F22800670}">
          <cx:tx>
            <cx:txData>
              <cx:f>_xlchart.v1.4</cx:f>
              <cx:v>Tipo II</cx:v>
            </cx:txData>
          </cx:tx>
          <cx:dataId val="0"/>
          <cx:layoutPr>
            <cx:binning intervalClosed="r" underflow="1000">
              <cx:binSize val="1000"/>
            </cx:binning>
          </cx:layoutPr>
        </cx:series>
      </cx:plotAreaRegion>
      <cx:axis id="0">
        <cx:catScaling gapWidth="0"/>
        <cx:majorTickMarks type="out"/>
        <cx:minorTickMarks type="out"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55"/>
        <cx:majorGridlines>
          <cx:spPr>
            <a:ln>
              <a:solidFill>
                <a:schemeClr val="bg2">
                  <a:lumMod val="75000"/>
                </a:schemeClr>
              </a:solidFill>
            </a:ln>
          </cx:spPr>
        </cx:majorGridlines>
        <cx:majorTickMarks type="in"/>
        <cx:minorTickMarks type="in"/>
        <cx:tickLabels/>
        <cx:numFmt formatCode="General" sourceLinked="0"/>
        <cx:spPr>
          <a:ln>
            <a:solidFill>
              <a:schemeClr val="bg1">
                <a:lumMod val="75000"/>
              </a:schemeClr>
            </a:solidFill>
          </a:ln>
        </cx:spPr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% de plasticos por rango de rotura a la tracción [kg]</a:t>
            </a:r>
          </a:p>
          <a:p>
            <a:pPr algn="ctr" rtl="0">
              <a:defRPr/>
            </a:pPr>
            <a:r>
              <a:rPr lang="es-ES" sz="14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 panose="020F0502020204030204"/>
              </a:rPr>
              <a:t>para probeta Tipo III e=7[mm]</a:t>
            </a:r>
          </a:p>
        </cx:rich>
      </cx:tx>
    </cx:title>
    <cx:plotArea>
      <cx:plotAreaRegion>
        <cx:series layoutId="clusteredColumn" uniqueId="{79104382-65DD-484C-9B52-466F22800670}">
          <cx:tx>
            <cx:txData>
              <cx:f>_xlchart.v1.2</cx:f>
              <cx:v>Tipo III</cx:v>
            </cx:txData>
          </cx:tx>
          <cx:dataId val="0"/>
          <cx:layoutPr>
            <cx:binning intervalClosed="r" underflow="2000">
              <cx:binSize val="4000"/>
            </cx:binning>
          </cx:layoutPr>
        </cx:series>
      </cx:plotAreaRegion>
      <cx:axis id="0">
        <cx:catScaling gapWidth="0"/>
        <cx:majorTickMarks type="out"/>
        <cx:minorTickMarks type="out"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55"/>
        <cx:majorGridlines>
          <cx:spPr>
            <a:ln>
              <a:solidFill>
                <a:schemeClr val="bg2">
                  <a:lumMod val="75000"/>
                </a:schemeClr>
              </a:solidFill>
            </a:ln>
          </cx:spPr>
        </cx:majorGridlines>
        <cx:majorTickMarks type="in"/>
        <cx:minorTickMarks type="in"/>
        <cx:tickLabels/>
        <cx:numFmt formatCode="General" sourceLinked="0"/>
        <cx:spPr>
          <a:ln>
            <a:solidFill>
              <a:schemeClr val="bg1">
                <a:lumMod val="75000"/>
              </a:schemeClr>
            </a:solidFill>
          </a:ln>
        </cx:sp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3</xdr:row>
      <xdr:rowOff>30480</xdr:rowOff>
    </xdr:from>
    <xdr:to>
      <xdr:col>11</xdr:col>
      <xdr:colOff>186931</xdr:colOff>
      <xdr:row>18</xdr:row>
      <xdr:rowOff>152648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9C522D-D795-3C6F-C905-665782763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0560" y="579120"/>
          <a:ext cx="2781541" cy="286536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22</xdr:col>
      <xdr:colOff>118702</xdr:colOff>
      <xdr:row>29</xdr:row>
      <xdr:rowOff>152873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BFE4A6-B86B-269E-E815-8A079F67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1880" y="0"/>
          <a:ext cx="6828112" cy="5456393"/>
        </a:xfrm>
        <a:prstGeom prst="rect">
          <a:avLst/>
        </a:prstGeom>
      </xdr:spPr>
    </xdr:pic>
    <xdr:clientData/>
  </xdr:twoCellAnchor>
  <xdr:twoCellAnchor editAs="oneCell">
    <xdr:from>
      <xdr:col>5</xdr:col>
      <xdr:colOff>297180</xdr:colOff>
      <xdr:row>19</xdr:row>
      <xdr:rowOff>68580</xdr:rowOff>
    </xdr:from>
    <xdr:to>
      <xdr:col>10</xdr:col>
      <xdr:colOff>537465</xdr:colOff>
      <xdr:row>24</xdr:row>
      <xdr:rowOff>156297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64526D-9605-F869-A7BE-F26F2C5D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1460" y="3543300"/>
          <a:ext cx="2949196" cy="1005927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29</xdr:row>
      <xdr:rowOff>167640</xdr:rowOff>
    </xdr:from>
    <xdr:to>
      <xdr:col>21</xdr:col>
      <xdr:colOff>369570</xdr:colOff>
      <xdr:row>56</xdr:row>
      <xdr:rowOff>1905</xdr:rowOff>
    </xdr:to>
    <xdr:pic>
      <xdr:nvPicPr>
        <xdr:cNvPr id="6" name="Imagen 5" descr="ASTM D412 DIES">
          <a:extLst>
            <a:ext uri="{FF2B5EF4-FFF2-40B4-BE49-F238E27FC236}">
              <a16:creationId xmlns:a16="http://schemas.microsoft.com/office/drawing/2014/main" id="{2022C5FA-4312-C89B-0D50-A6FC9FE1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760" y="5471160"/>
          <a:ext cx="897636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130</xdr:row>
      <xdr:rowOff>42862</xdr:rowOff>
    </xdr:from>
    <xdr:to>
      <xdr:col>21</xdr:col>
      <xdr:colOff>82056</xdr:colOff>
      <xdr:row>153</xdr:row>
      <xdr:rowOff>182245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BB6876DF-014F-EE83-6105-1862D2A2CE37}"/>
            </a:ext>
          </a:extLst>
        </xdr:cNvPr>
        <xdr:cNvGrpSpPr/>
      </xdr:nvGrpSpPr>
      <xdr:grpSpPr>
        <a:xfrm>
          <a:off x="8382000" y="26093737"/>
          <a:ext cx="8856962" cy="4520883"/>
          <a:chOff x="7613331" y="24560212"/>
          <a:chExt cx="6756225" cy="4520883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4B98EE6F-B62A-2C71-C551-5C032EB26C1D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7889556" y="24560212"/>
              <a:ext cx="6480000" cy="4320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89556" y="24560212"/>
                <a:ext cx="6480000" cy="43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13" name="CuadroTexto 1">
            <a:extLst>
              <a:ext uri="{FF2B5EF4-FFF2-40B4-BE49-F238E27FC236}">
                <a16:creationId xmlns:a16="http://schemas.microsoft.com/office/drawing/2014/main" id="{C1E83FD8-4D6F-5DB1-A583-9FEE23653391}"/>
              </a:ext>
            </a:extLst>
          </xdr:cNvPr>
          <xdr:cNvSpPr txBox="1"/>
        </xdr:nvSpPr>
        <xdr:spPr>
          <a:xfrm>
            <a:off x="7613331" y="26665237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14" name="CuadroTexto 1">
            <a:extLst>
              <a:ext uri="{FF2B5EF4-FFF2-40B4-BE49-F238E27FC236}">
                <a16:creationId xmlns:a16="http://schemas.microsoft.com/office/drawing/2014/main" id="{A9F35077-83CD-B93C-E8F6-23FCDD4CEB71}"/>
              </a:ext>
            </a:extLst>
          </xdr:cNvPr>
          <xdr:cNvSpPr txBox="1"/>
        </xdr:nvSpPr>
        <xdr:spPr>
          <a:xfrm>
            <a:off x="11229975" y="28822650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[N]</a:t>
            </a:r>
          </a:p>
        </xdr:txBody>
      </xdr:sp>
    </xdr:grpSp>
    <xdr:clientData/>
  </xdr:twoCellAnchor>
  <xdr:twoCellAnchor>
    <xdr:from>
      <xdr:col>0</xdr:col>
      <xdr:colOff>466725</xdr:colOff>
      <xdr:row>129</xdr:row>
      <xdr:rowOff>119061</xdr:rowOff>
    </xdr:from>
    <xdr:to>
      <xdr:col>10</xdr:col>
      <xdr:colOff>264936</xdr:colOff>
      <xdr:row>153</xdr:row>
      <xdr:rowOff>1270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C12686DB-3EAC-CFD3-7D59-6E3EBABE1311}"/>
            </a:ext>
          </a:extLst>
        </xdr:cNvPr>
        <xdr:cNvGrpSpPr/>
      </xdr:nvGrpSpPr>
      <xdr:grpSpPr>
        <a:xfrm>
          <a:off x="466725" y="25979436"/>
          <a:ext cx="6989586" cy="4454209"/>
          <a:chOff x="466725" y="24484011"/>
          <a:chExt cx="6665736" cy="4454209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230A2A0A-176E-1B23-413D-6D4BDD1DD7E8}"/>
              </a:ext>
            </a:extLst>
          </xdr:cNvPr>
          <xdr:cNvGraphicFramePr/>
        </xdr:nvGraphicFramePr>
        <xdr:xfrm>
          <a:off x="652461" y="24484011"/>
          <a:ext cx="6480000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6" name="CuadroTexto 1">
            <a:extLst>
              <a:ext uri="{FF2B5EF4-FFF2-40B4-BE49-F238E27FC236}">
                <a16:creationId xmlns:a16="http://schemas.microsoft.com/office/drawing/2014/main" id="{1691CC61-B020-4498-900D-FC543202FD77}"/>
              </a:ext>
            </a:extLst>
          </xdr:cNvPr>
          <xdr:cNvSpPr txBox="1"/>
        </xdr:nvSpPr>
        <xdr:spPr>
          <a:xfrm>
            <a:off x="466725" y="26689050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17" name="CuadroTexto 1">
            <a:extLst>
              <a:ext uri="{FF2B5EF4-FFF2-40B4-BE49-F238E27FC236}">
                <a16:creationId xmlns:a16="http://schemas.microsoft.com/office/drawing/2014/main" id="{F1984B0D-0264-4ABB-96FF-4D2CD691DF63}"/>
              </a:ext>
            </a:extLst>
          </xdr:cNvPr>
          <xdr:cNvSpPr txBox="1"/>
        </xdr:nvSpPr>
        <xdr:spPr>
          <a:xfrm>
            <a:off x="3790950" y="28679775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[kN]</a:t>
            </a:r>
          </a:p>
        </xdr:txBody>
      </xdr:sp>
    </xdr:grpSp>
    <xdr:clientData/>
  </xdr:twoCellAnchor>
  <xdr:twoCellAnchor>
    <xdr:from>
      <xdr:col>1</xdr:col>
      <xdr:colOff>0</xdr:colOff>
      <xdr:row>169</xdr:row>
      <xdr:rowOff>0</xdr:rowOff>
    </xdr:from>
    <xdr:to>
      <xdr:col>10</xdr:col>
      <xdr:colOff>750711</xdr:colOff>
      <xdr:row>192</xdr:row>
      <xdr:rowOff>72709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0D71D18F-C3D7-41A8-BB6B-A45E5C51035A}"/>
            </a:ext>
          </a:extLst>
        </xdr:cNvPr>
        <xdr:cNvGrpSpPr/>
      </xdr:nvGrpSpPr>
      <xdr:grpSpPr>
        <a:xfrm>
          <a:off x="952500" y="33480375"/>
          <a:ext cx="6989586" cy="4454209"/>
          <a:chOff x="466725" y="24484011"/>
          <a:chExt cx="6665736" cy="4454209"/>
        </a:xfrm>
      </xdr:grpSpPr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5A17C503-D06C-D0EC-8803-8BA7B5DE2DFB}"/>
              </a:ext>
            </a:extLst>
          </xdr:cNvPr>
          <xdr:cNvGraphicFramePr/>
        </xdr:nvGraphicFramePr>
        <xdr:xfrm>
          <a:off x="652461" y="24484011"/>
          <a:ext cx="6480000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1" name="CuadroTexto 1">
            <a:extLst>
              <a:ext uri="{FF2B5EF4-FFF2-40B4-BE49-F238E27FC236}">
                <a16:creationId xmlns:a16="http://schemas.microsoft.com/office/drawing/2014/main" id="{9F9511A0-EB51-48EA-1608-9D6C090B1744}"/>
              </a:ext>
            </a:extLst>
          </xdr:cNvPr>
          <xdr:cNvSpPr txBox="1"/>
        </xdr:nvSpPr>
        <xdr:spPr>
          <a:xfrm>
            <a:off x="466725" y="26689050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22" name="CuadroTexto 1">
            <a:extLst>
              <a:ext uri="{FF2B5EF4-FFF2-40B4-BE49-F238E27FC236}">
                <a16:creationId xmlns:a16="http://schemas.microsoft.com/office/drawing/2014/main" id="{2407AD8E-CDA5-41F3-28D1-E70FDFABCF91}"/>
              </a:ext>
            </a:extLst>
          </xdr:cNvPr>
          <xdr:cNvSpPr txBox="1"/>
        </xdr:nvSpPr>
        <xdr:spPr>
          <a:xfrm>
            <a:off x="3790950" y="28679775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[kN]</a:t>
            </a:r>
          </a:p>
        </xdr:txBody>
      </xdr:sp>
    </xdr:grpSp>
    <xdr:clientData/>
  </xdr:twoCellAnchor>
  <xdr:twoCellAnchor>
    <xdr:from>
      <xdr:col>11</xdr:col>
      <xdr:colOff>0</xdr:colOff>
      <xdr:row>169</xdr:row>
      <xdr:rowOff>0</xdr:rowOff>
    </xdr:from>
    <xdr:to>
      <xdr:col>22</xdr:col>
      <xdr:colOff>145875</xdr:colOff>
      <xdr:row>192</xdr:row>
      <xdr:rowOff>139383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E9560F92-BF50-43A2-89E8-1009A0C046F7}"/>
            </a:ext>
          </a:extLst>
        </xdr:cNvPr>
        <xdr:cNvGrpSpPr/>
      </xdr:nvGrpSpPr>
      <xdr:grpSpPr>
        <a:xfrm>
          <a:off x="8382000" y="33480375"/>
          <a:ext cx="9587531" cy="4520883"/>
          <a:chOff x="7613331" y="24560212"/>
          <a:chExt cx="6756225" cy="4520883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4" name="Gráfico 23">
                <a:extLst>
                  <a:ext uri="{FF2B5EF4-FFF2-40B4-BE49-F238E27FC236}">
                    <a16:creationId xmlns:a16="http://schemas.microsoft.com/office/drawing/2014/main" id="{7D8309D2-F769-1FD6-D5BB-EF4DA9CB1728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7889556" y="24560212"/>
              <a:ext cx="6480000" cy="4320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89556" y="24560212"/>
                <a:ext cx="6480000" cy="43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25" name="CuadroTexto 1">
            <a:extLst>
              <a:ext uri="{FF2B5EF4-FFF2-40B4-BE49-F238E27FC236}">
                <a16:creationId xmlns:a16="http://schemas.microsoft.com/office/drawing/2014/main" id="{0E0CC17F-FF3B-6DA8-8A11-FA57CE7BAEBC}"/>
              </a:ext>
            </a:extLst>
          </xdr:cNvPr>
          <xdr:cNvSpPr txBox="1"/>
        </xdr:nvSpPr>
        <xdr:spPr>
          <a:xfrm>
            <a:off x="7613331" y="26665237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26" name="CuadroTexto 1">
            <a:extLst>
              <a:ext uri="{FF2B5EF4-FFF2-40B4-BE49-F238E27FC236}">
                <a16:creationId xmlns:a16="http://schemas.microsoft.com/office/drawing/2014/main" id="{59DDBF3B-764F-13CE-0020-61773BD46021}"/>
              </a:ext>
            </a:extLst>
          </xdr:cNvPr>
          <xdr:cNvSpPr txBox="1"/>
        </xdr:nvSpPr>
        <xdr:spPr>
          <a:xfrm>
            <a:off x="11229975" y="28822650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[N]</a:t>
            </a:r>
          </a:p>
        </xdr:txBody>
      </xdr:sp>
    </xdr:grpSp>
    <xdr:clientData/>
  </xdr:twoCellAnchor>
  <xdr:twoCellAnchor>
    <xdr:from>
      <xdr:col>1</xdr:col>
      <xdr:colOff>76200</xdr:colOff>
      <xdr:row>207</xdr:row>
      <xdr:rowOff>19050</xdr:rowOff>
    </xdr:from>
    <xdr:to>
      <xdr:col>10</xdr:col>
      <xdr:colOff>826911</xdr:colOff>
      <xdr:row>230</xdr:row>
      <xdr:rowOff>91759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F3E8DD6B-859B-4882-A1FA-8C760BE97C54}"/>
            </a:ext>
          </a:extLst>
        </xdr:cNvPr>
        <xdr:cNvGrpSpPr/>
      </xdr:nvGrpSpPr>
      <xdr:grpSpPr>
        <a:xfrm>
          <a:off x="1028700" y="40738425"/>
          <a:ext cx="6989586" cy="4454209"/>
          <a:chOff x="466725" y="24484011"/>
          <a:chExt cx="6665736" cy="4454209"/>
        </a:xfrm>
      </xdr:grpSpPr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B1AC03DE-EE26-A9B1-649C-9807BDB638B2}"/>
              </a:ext>
            </a:extLst>
          </xdr:cNvPr>
          <xdr:cNvGraphicFramePr/>
        </xdr:nvGraphicFramePr>
        <xdr:xfrm>
          <a:off x="652461" y="24484011"/>
          <a:ext cx="6480000" cy="43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9" name="CuadroTexto 1">
            <a:extLst>
              <a:ext uri="{FF2B5EF4-FFF2-40B4-BE49-F238E27FC236}">
                <a16:creationId xmlns:a16="http://schemas.microsoft.com/office/drawing/2014/main" id="{9BFAE521-FFAC-F127-EE0F-85F78C815A58}"/>
              </a:ext>
            </a:extLst>
          </xdr:cNvPr>
          <xdr:cNvSpPr txBox="1"/>
        </xdr:nvSpPr>
        <xdr:spPr>
          <a:xfrm>
            <a:off x="466725" y="26689050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30" name="CuadroTexto 1">
            <a:extLst>
              <a:ext uri="{FF2B5EF4-FFF2-40B4-BE49-F238E27FC236}">
                <a16:creationId xmlns:a16="http://schemas.microsoft.com/office/drawing/2014/main" id="{F0F44D71-441A-0987-EBF9-FF8708B5A647}"/>
              </a:ext>
            </a:extLst>
          </xdr:cNvPr>
          <xdr:cNvSpPr txBox="1"/>
        </xdr:nvSpPr>
        <xdr:spPr>
          <a:xfrm>
            <a:off x="3790950" y="28679775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[kN]</a:t>
            </a:r>
          </a:p>
        </xdr:txBody>
      </xdr:sp>
    </xdr:grpSp>
    <xdr:clientData/>
  </xdr:twoCellAnchor>
  <xdr:twoCellAnchor>
    <xdr:from>
      <xdr:col>11</xdr:col>
      <xdr:colOff>0</xdr:colOff>
      <xdr:row>207</xdr:row>
      <xdr:rowOff>0</xdr:rowOff>
    </xdr:from>
    <xdr:to>
      <xdr:col>21</xdr:col>
      <xdr:colOff>12525</xdr:colOff>
      <xdr:row>230</xdr:row>
      <xdr:rowOff>139383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72923326-DE22-459F-BB73-733E31E65924}"/>
            </a:ext>
          </a:extLst>
        </xdr:cNvPr>
        <xdr:cNvGrpSpPr/>
      </xdr:nvGrpSpPr>
      <xdr:grpSpPr>
        <a:xfrm>
          <a:off x="8382000" y="40719375"/>
          <a:ext cx="8787431" cy="4520883"/>
          <a:chOff x="7613331" y="24560212"/>
          <a:chExt cx="6756225" cy="4520883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32" name="Gráfico 31">
                <a:extLst>
                  <a:ext uri="{FF2B5EF4-FFF2-40B4-BE49-F238E27FC236}">
                    <a16:creationId xmlns:a16="http://schemas.microsoft.com/office/drawing/2014/main" id="{151FFE44-8662-E675-79AC-4B9BED03DE2C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7889556" y="24560212"/>
              <a:ext cx="6480000" cy="4320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89556" y="24560212"/>
                <a:ext cx="6480000" cy="432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33" name="CuadroTexto 1">
            <a:extLst>
              <a:ext uri="{FF2B5EF4-FFF2-40B4-BE49-F238E27FC236}">
                <a16:creationId xmlns:a16="http://schemas.microsoft.com/office/drawing/2014/main" id="{62730B78-FA1B-56B6-EFCB-B0D4151B324B}"/>
              </a:ext>
            </a:extLst>
          </xdr:cNvPr>
          <xdr:cNvSpPr txBox="1"/>
        </xdr:nvSpPr>
        <xdr:spPr>
          <a:xfrm>
            <a:off x="7613331" y="26665237"/>
            <a:ext cx="385819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  <xdr:sp macro="" textlink="">
        <xdr:nvSpPr>
          <xdr:cNvPr id="34" name="CuadroTexto 1">
            <a:extLst>
              <a:ext uri="{FF2B5EF4-FFF2-40B4-BE49-F238E27FC236}">
                <a16:creationId xmlns:a16="http://schemas.microsoft.com/office/drawing/2014/main" id="{B01ACA6D-25BF-2AE9-7B5F-8CE820357C28}"/>
              </a:ext>
            </a:extLst>
          </xdr:cNvPr>
          <xdr:cNvSpPr txBox="1"/>
        </xdr:nvSpPr>
        <xdr:spPr>
          <a:xfrm>
            <a:off x="11229975" y="28822650"/>
            <a:ext cx="455435" cy="25844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100" b="1" kern="1200"/>
              <a:t>[N]</a:t>
            </a:r>
          </a:p>
        </xdr:txBody>
      </xdr:sp>
    </xdr:grpSp>
    <xdr:clientData/>
  </xdr:twoCellAnchor>
  <xdr:twoCellAnchor>
    <xdr:from>
      <xdr:col>23</xdr:col>
      <xdr:colOff>130969</xdr:colOff>
      <xdr:row>109</xdr:row>
      <xdr:rowOff>86914</xdr:rowOff>
    </xdr:from>
    <xdr:to>
      <xdr:col>32</xdr:col>
      <xdr:colOff>473297</xdr:colOff>
      <xdr:row>128</xdr:row>
      <xdr:rowOff>84945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48429EE7-F72A-CC71-CC21-8A3539FD6FC1}"/>
            </a:ext>
          </a:extLst>
        </xdr:cNvPr>
        <xdr:cNvGrpSpPr/>
      </xdr:nvGrpSpPr>
      <xdr:grpSpPr>
        <a:xfrm>
          <a:off x="18514219" y="21077633"/>
          <a:ext cx="6759797" cy="4677187"/>
          <a:chOff x="19014282" y="20768071"/>
          <a:chExt cx="6759796" cy="4486687"/>
        </a:xfrm>
      </xdr:grpSpPr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E79E56DE-CBE3-DA70-25FE-354D72D563D4}"/>
              </a:ext>
            </a:extLst>
          </xdr:cNvPr>
          <xdr:cNvGraphicFramePr/>
        </xdr:nvGraphicFramePr>
        <xdr:xfrm>
          <a:off x="19294078" y="20768071"/>
          <a:ext cx="6480000" cy="44866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7" name="CuadroTexto 1">
            <a:extLst>
              <a:ext uri="{FF2B5EF4-FFF2-40B4-BE49-F238E27FC236}">
                <a16:creationId xmlns:a16="http://schemas.microsoft.com/office/drawing/2014/main" id="{4D1D9061-9E3C-40B9-9F1F-CA131FE3B66F}"/>
              </a:ext>
            </a:extLst>
          </xdr:cNvPr>
          <xdr:cNvSpPr txBox="1"/>
        </xdr:nvSpPr>
        <xdr:spPr>
          <a:xfrm>
            <a:off x="19014282" y="22574250"/>
            <a:ext cx="547367" cy="21185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s-AR" sz="1400" b="1" kern="1200"/>
              <a:t>%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Saavedra" id="{BE0A9EC3-9F37-4C07-9E8D-464D460AD1F4}" userId="95ce65fe04daea0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A5A74-953C-4B40-9E70-683E2C88EEC9}" name="Tabla1" displayName="Tabla1" ref="A2:F6" totalsRowShown="0" headerRowDxfId="17" dataDxfId="15" headerRowBorderDxfId="16" tableBorderDxfId="14" totalsRowBorderDxfId="13">
  <tableColumns count="6">
    <tableColumn id="1" xr3:uid="{F0FA9F91-24CD-4C28-8907-24AF32F86E4B}" name="Probetas" dataDxfId="12"/>
    <tableColumn id="2" xr3:uid="{D6107EB1-A7E5-49C8-92D8-2BE9234E8035}" name="Type I" dataDxfId="11"/>
    <tableColumn id="3" xr3:uid="{049D59A1-FC47-47C7-B9FF-DC42C47C7BB3}" name="Type II" dataDxfId="10"/>
    <tableColumn id="4" xr3:uid="{3B34420A-AEE5-4168-AE58-252A4363E946}" name="Type III" dataDxfId="9"/>
    <tableColumn id="5" xr3:uid="{1785A82D-ED5D-43EC-B2E7-5518E3C511DA}" name="Type IV" dataDxfId="8"/>
    <tableColumn id="6" xr3:uid="{819B7C58-CA34-48D0-A839-8B5614C6B625}" name="Type V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4-03-04T01:37:12.35" personId="{BE0A9EC3-9F37-4C07-9E8D-464D460AD1F4}" id="{9C4B5A3B-ECA5-4903-96FF-931F68D9E115}">
    <text>Esto es para probeta tipo V, es decir un gauge de 7.62mm. Esta velocidad solo se aplica a este tipo de probetas según la norma.</text>
  </threadedComment>
  <threadedComment ref="L6" dT="2024-03-04T01:37:12.35" personId="{BE0A9EC3-9F37-4C07-9E8D-464D460AD1F4}" id="{E0D2ACBA-B604-4D62-ADF3-96656FDE389F}">
    <text>Esto es para probeta tipo V, es decir un gauge de 7.62mm. Esta velocidad solo se aplica a este tipo de probetas según la norma.</text>
  </threadedComment>
  <threadedComment ref="M6" dT="2024-03-04T01:37:12.35" personId="{BE0A9EC3-9F37-4C07-9E8D-464D460AD1F4}" id="{6694FFF5-D8AD-45EA-AAE1-381A5AD82964}">
    <text>Esto es para probeta tipo V, es decir un gauge de 7.62mm. Esta velocidad solo se aplica a este tipo de probetas según la norma.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zoomScale="130" zoomScaleNormal="130" workbookViewId="0">
      <selection activeCell="C12" sqref="C12"/>
    </sheetView>
  </sheetViews>
  <sheetFormatPr baseColWidth="10" defaultColWidth="8.85546875" defaultRowHeight="15" x14ac:dyDescent="0.25"/>
  <cols>
    <col min="1" max="1" width="10" customWidth="1"/>
    <col min="3" max="3" width="10.28515625" bestFit="1" customWidth="1"/>
    <col min="8" max="8" width="8.7109375" bestFit="1" customWidth="1"/>
    <col min="9" max="9" width="4" bestFit="1" customWidth="1"/>
  </cols>
  <sheetData>
    <row r="1" spans="1:9" x14ac:dyDescent="0.25">
      <c r="A1" s="73" t="s">
        <v>0</v>
      </c>
      <c r="B1" s="73"/>
      <c r="C1" s="73"/>
      <c r="D1" s="73"/>
      <c r="E1" s="73"/>
      <c r="F1" s="73"/>
    </row>
    <row r="2" spans="1:9" x14ac:dyDescent="0.25">
      <c r="A2" s="69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70" t="s">
        <v>6</v>
      </c>
      <c r="H2" t="s">
        <v>7</v>
      </c>
      <c r="I2" s="51">
        <v>3.2</v>
      </c>
    </row>
    <row r="3" spans="1:9" x14ac:dyDescent="0.25">
      <c r="A3" s="35" t="s">
        <v>8</v>
      </c>
      <c r="B3" s="49">
        <v>13</v>
      </c>
      <c r="C3" s="49">
        <v>6</v>
      </c>
      <c r="D3" s="49">
        <v>19</v>
      </c>
      <c r="E3" s="49">
        <v>6</v>
      </c>
      <c r="F3" s="68">
        <v>3.18</v>
      </c>
    </row>
    <row r="4" spans="1:9" x14ac:dyDescent="0.25">
      <c r="A4" s="35" t="s">
        <v>9</v>
      </c>
      <c r="B4" s="49">
        <v>57</v>
      </c>
      <c r="C4" s="49">
        <v>57</v>
      </c>
      <c r="D4" s="49">
        <v>57</v>
      </c>
      <c r="E4" s="49">
        <v>33</v>
      </c>
      <c r="F4" s="68">
        <v>9.5299999999999994</v>
      </c>
    </row>
    <row r="5" spans="1:9" x14ac:dyDescent="0.25">
      <c r="A5" s="35" t="s">
        <v>7</v>
      </c>
      <c r="B5" s="49">
        <v>4</v>
      </c>
      <c r="C5" s="49">
        <v>4</v>
      </c>
      <c r="D5" s="49">
        <v>7</v>
      </c>
      <c r="E5" s="49">
        <f>$H$26</f>
        <v>3.2</v>
      </c>
      <c r="F5" s="68">
        <f>$H$26</f>
        <v>3.2</v>
      </c>
    </row>
    <row r="6" spans="1:9" x14ac:dyDescent="0.25">
      <c r="A6" s="71" t="s">
        <v>10</v>
      </c>
      <c r="B6" s="47">
        <f>B3*B5</f>
        <v>52</v>
      </c>
      <c r="C6" s="47">
        <f>C3*C5</f>
        <v>24</v>
      </c>
      <c r="D6" s="47">
        <f t="shared" ref="D6:F6" si="0">D3*D5</f>
        <v>133</v>
      </c>
      <c r="E6" s="47">
        <f t="shared" si="0"/>
        <v>19.200000000000003</v>
      </c>
      <c r="F6" s="72">
        <f t="shared" si="0"/>
        <v>10.176000000000002</v>
      </c>
    </row>
    <row r="26" spans="7:8" x14ac:dyDescent="0.25">
      <c r="G26" t="s">
        <v>7</v>
      </c>
      <c r="H26">
        <v>3.2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91A4-C6B5-40AE-AD2E-EA4D62F1FA48}">
  <sheetPr>
    <pageSetUpPr fitToPage="1"/>
  </sheetPr>
  <dimension ref="A2:W206"/>
  <sheetViews>
    <sheetView showGridLines="0" tabSelected="1" zoomScale="80" zoomScaleNormal="80" workbookViewId="0">
      <selection activeCell="P122" sqref="P122"/>
    </sheetView>
  </sheetViews>
  <sheetFormatPr baseColWidth="10" defaultColWidth="11.42578125" defaultRowHeight="15" customHeight="1" x14ac:dyDescent="0.25"/>
  <cols>
    <col min="1" max="1" width="14.28515625" bestFit="1" customWidth="1"/>
    <col min="2" max="2" width="33.42578125" customWidth="1"/>
    <col min="3" max="3" width="7.85546875" customWidth="1"/>
    <col min="4" max="4" width="7.5703125" bestFit="1" customWidth="1"/>
    <col min="5" max="5" width="7.7109375" bestFit="1" customWidth="1"/>
    <col min="6" max="6" width="5.5703125" customWidth="1"/>
    <col min="7" max="7" width="2.85546875" customWidth="1"/>
    <col min="8" max="8" width="9" bestFit="1" customWidth="1"/>
    <col min="9" max="9" width="7.85546875" customWidth="1"/>
    <col min="10" max="10" width="12" customWidth="1"/>
    <col min="11" max="11" width="17.85546875" customWidth="1"/>
    <col min="12" max="12" width="11.28515625" customWidth="1"/>
    <col min="13" max="13" width="12.5703125" customWidth="1"/>
    <col min="14" max="14" width="14.7109375" customWidth="1"/>
    <col min="15" max="15" width="10.5703125" customWidth="1"/>
    <col min="16" max="16" width="12.42578125" customWidth="1"/>
    <col min="17" max="17" width="14.5703125" customWidth="1"/>
    <col min="18" max="18" width="19.7109375" customWidth="1"/>
    <col min="19" max="19" width="10.140625" customWidth="1"/>
    <col min="20" max="20" width="14.7109375" customWidth="1"/>
    <col min="21" max="21" width="11.140625" customWidth="1"/>
    <col min="22" max="22" width="10" customWidth="1"/>
    <col min="23" max="23" width="8.42578125" customWidth="1"/>
    <col min="24" max="24" width="4.85546875" customWidth="1"/>
  </cols>
  <sheetData>
    <row r="2" spans="1:23" x14ac:dyDescent="0.25">
      <c r="A2" s="5" t="s">
        <v>13</v>
      </c>
      <c r="H2" t="s">
        <v>173</v>
      </c>
      <c r="S2" s="30" t="s">
        <v>11</v>
      </c>
      <c r="T2" s="23" t="s">
        <v>12</v>
      </c>
    </row>
    <row r="3" spans="1:23" ht="24" thickBot="1" x14ac:dyDescent="0.4">
      <c r="A3" s="8" t="s">
        <v>16</v>
      </c>
      <c r="B3" s="6" t="s">
        <v>14</v>
      </c>
      <c r="H3" s="11">
        <v>1</v>
      </c>
      <c r="Q3">
        <f>12*9</f>
        <v>108</v>
      </c>
      <c r="S3" s="30" t="s">
        <v>15</v>
      </c>
      <c r="T3" s="24">
        <f>T7*T7*3/4/1000000</f>
        <v>62.819327999999999</v>
      </c>
      <c r="U3" s="21"/>
      <c r="V3" s="21"/>
      <c r="W3" s="21"/>
    </row>
    <row r="4" spans="1:23" ht="19.5" thickBot="1" x14ac:dyDescent="0.35">
      <c r="A4" s="9" t="s">
        <v>0</v>
      </c>
      <c r="B4" t="s">
        <v>17</v>
      </c>
      <c r="G4">
        <f>9*1.33333</f>
        <v>11.999969999999999</v>
      </c>
      <c r="K4" s="82" t="s">
        <v>174</v>
      </c>
      <c r="L4" s="83"/>
      <c r="M4" s="83"/>
      <c r="N4" s="83"/>
      <c r="O4" s="83"/>
      <c r="P4" s="84"/>
      <c r="Q4" s="42" t="s">
        <v>18</v>
      </c>
      <c r="S4" s="31">
        <v>10</v>
      </c>
      <c r="T4">
        <f>108/4/3</f>
        <v>9</v>
      </c>
      <c r="U4" s="22"/>
      <c r="V4" s="22"/>
      <c r="W4" s="22"/>
    </row>
    <row r="5" spans="1:23" ht="15.75" thickBot="1" x14ac:dyDescent="0.3">
      <c r="A5" s="7" t="s">
        <v>25</v>
      </c>
      <c r="F5" t="s">
        <v>129</v>
      </c>
      <c r="K5" s="79" t="s">
        <v>182</v>
      </c>
      <c r="L5" s="80"/>
      <c r="M5" s="80"/>
      <c r="N5" s="79" t="s">
        <v>183</v>
      </c>
      <c r="O5" s="80"/>
      <c r="P5" s="81"/>
      <c r="Q5" s="42" t="s">
        <v>19</v>
      </c>
      <c r="R5" s="17" t="s">
        <v>20</v>
      </c>
      <c r="S5" s="42" t="s">
        <v>21</v>
      </c>
      <c r="T5" s="19" t="s">
        <v>22</v>
      </c>
      <c r="U5" s="19" t="s">
        <v>23</v>
      </c>
      <c r="V5" s="19" t="s">
        <v>24</v>
      </c>
      <c r="W5" s="32"/>
    </row>
    <row r="6" spans="1:23" x14ac:dyDescent="0.25">
      <c r="A6" s="46"/>
      <c r="B6" s="39"/>
      <c r="C6" s="10" t="s">
        <v>26</v>
      </c>
      <c r="D6" s="39"/>
      <c r="E6" s="39"/>
      <c r="F6" s="39"/>
      <c r="G6" s="89" t="s">
        <v>151</v>
      </c>
      <c r="H6" s="89"/>
      <c r="I6" s="89"/>
      <c r="J6" s="93" t="s">
        <v>167</v>
      </c>
      <c r="K6" s="87" t="s">
        <v>152</v>
      </c>
      <c r="L6" s="75" t="s">
        <v>180</v>
      </c>
      <c r="M6" s="77" t="s">
        <v>181</v>
      </c>
      <c r="N6" s="87" t="s">
        <v>27</v>
      </c>
      <c r="O6" s="75" t="s">
        <v>153</v>
      </c>
      <c r="P6" s="85" t="s">
        <v>186</v>
      </c>
      <c r="Q6" s="57" t="s">
        <v>28</v>
      </c>
      <c r="R6" s="18" t="s">
        <v>29</v>
      </c>
      <c r="S6" s="42" t="s">
        <v>30</v>
      </c>
      <c r="T6" s="17" t="s">
        <v>31</v>
      </c>
      <c r="U6" s="19" t="s">
        <v>32</v>
      </c>
      <c r="V6" s="19" t="s">
        <v>33</v>
      </c>
      <c r="W6" s="32"/>
    </row>
    <row r="7" spans="1:23" ht="16.5" customHeight="1" x14ac:dyDescent="0.25">
      <c r="A7" s="17" t="s">
        <v>172</v>
      </c>
      <c r="B7" s="10" t="s">
        <v>34</v>
      </c>
      <c r="C7" s="10" t="s">
        <v>35</v>
      </c>
      <c r="D7" s="40" t="s">
        <v>36</v>
      </c>
      <c r="E7" s="10" t="s">
        <v>37</v>
      </c>
      <c r="F7" s="10" t="s">
        <v>38</v>
      </c>
      <c r="G7" s="10" t="s">
        <v>170</v>
      </c>
      <c r="H7" s="10" t="s">
        <v>169</v>
      </c>
      <c r="I7" s="10" t="s">
        <v>168</v>
      </c>
      <c r="J7" s="94"/>
      <c r="K7" s="88"/>
      <c r="L7" s="76"/>
      <c r="M7" s="78"/>
      <c r="N7" s="88"/>
      <c r="O7" s="76"/>
      <c r="P7" s="86"/>
      <c r="Q7" s="57" t="s">
        <v>39</v>
      </c>
      <c r="R7" s="41"/>
      <c r="S7" s="18"/>
      <c r="T7" s="17">
        <v>9152</v>
      </c>
      <c r="U7" s="19" t="s">
        <v>40</v>
      </c>
      <c r="V7" s="19" t="s">
        <v>41</v>
      </c>
      <c r="W7" s="32"/>
    </row>
    <row r="8" spans="1:23" x14ac:dyDescent="0.25">
      <c r="A8" s="90" t="s">
        <v>42</v>
      </c>
      <c r="B8" s="35" t="s">
        <v>43</v>
      </c>
      <c r="C8" s="4">
        <v>60</v>
      </c>
      <c r="D8" s="13"/>
      <c r="E8" s="4">
        <v>524</v>
      </c>
      <c r="F8" s="4">
        <v>6</v>
      </c>
      <c r="G8" s="16">
        <f>$C8*$H$3*'ASTM D638-Probetas'!B$6</f>
        <v>3120</v>
      </c>
      <c r="H8" s="16">
        <f>$C8*$H$3*'ASTM D638-Probetas'!C$6</f>
        <v>1440</v>
      </c>
      <c r="I8" s="16">
        <f>$C8*$H$3*'ASTM D638-Probetas'!D$6</f>
        <v>7980</v>
      </c>
      <c r="J8" s="45">
        <f t="shared" ref="J8:J39" si="0">F8/100*50</f>
        <v>3</v>
      </c>
      <c r="K8" s="60">
        <f t="shared" ref="K8:K39" si="1">J8/1/50*7.62</f>
        <v>0.4572</v>
      </c>
      <c r="L8" s="26">
        <f>J8/10/50*7.62</f>
        <v>4.5720000000000004E-2</v>
      </c>
      <c r="M8" s="65">
        <f>J8/100/50*7.62</f>
        <v>4.5719999999999997E-3</v>
      </c>
      <c r="N8" s="60">
        <f t="shared" ref="N8:N39" si="2">J8/5</f>
        <v>0.6</v>
      </c>
      <c r="O8" s="26">
        <f t="shared" ref="O8:O39" si="3">J8/50</f>
        <v>0.06</v>
      </c>
      <c r="P8" s="61">
        <f>J8/500</f>
        <v>6.0000000000000001E-3</v>
      </c>
      <c r="Q8" s="58">
        <f t="shared" ref="Q8:Q39" si="4">F8*50/100/100</f>
        <v>0.03</v>
      </c>
      <c r="R8" s="26">
        <f>50+J8</f>
        <v>53</v>
      </c>
      <c r="S8" s="27">
        <f t="shared" ref="S8:S39" si="5">R8+$S$4</f>
        <v>63</v>
      </c>
      <c r="T8" s="25">
        <f t="shared" ref="T8:T39" si="6">S8/$T$7</f>
        <v>6.883741258741259E-3</v>
      </c>
      <c r="U8" s="28" t="str">
        <f t="shared" ref="U8:U87" si="7">IF(T8&lt;Q8,"SI",IF(Q8=0,"SI",IF(T8&gt;Q8,"NO")))</f>
        <v>SI</v>
      </c>
      <c r="V8" s="29">
        <f>Q8/T8</f>
        <v>4.3580952380952374</v>
      </c>
      <c r="W8" s="20"/>
    </row>
    <row r="9" spans="1:23" x14ac:dyDescent="0.25">
      <c r="A9" s="91"/>
      <c r="B9" s="35" t="s">
        <v>44</v>
      </c>
      <c r="C9" s="2">
        <v>51</v>
      </c>
      <c r="D9" s="12"/>
      <c r="E9" s="2"/>
      <c r="F9" s="2">
        <v>3.3</v>
      </c>
      <c r="G9" s="16">
        <f>$C9*$H$3*'ASTM D638-Probetas'!B$6</f>
        <v>2652</v>
      </c>
      <c r="H9" s="16">
        <f>$C9*$H$3*'ASTM D638-Probetas'!C$6</f>
        <v>1224</v>
      </c>
      <c r="I9" s="16">
        <f>$C9*$H$3*'ASTM D638-Probetas'!D$6</f>
        <v>6783</v>
      </c>
      <c r="J9" s="45">
        <f t="shared" si="0"/>
        <v>1.6500000000000001</v>
      </c>
      <c r="K9" s="60">
        <f t="shared" si="1"/>
        <v>0.25146000000000002</v>
      </c>
      <c r="L9" s="26">
        <f t="shared" ref="L9:L72" si="8">J9/10/50*7.62</f>
        <v>2.5146000000000002E-2</v>
      </c>
      <c r="M9" s="65">
        <f t="shared" ref="M9:M72" si="9">J9/100/50*7.62</f>
        <v>2.5146000000000001E-3</v>
      </c>
      <c r="N9" s="67">
        <f t="shared" si="2"/>
        <v>0.33</v>
      </c>
      <c r="O9" s="26">
        <f t="shared" si="3"/>
        <v>3.3000000000000002E-2</v>
      </c>
      <c r="P9" s="61">
        <f t="shared" ref="P9:P72" si="10">J9/500</f>
        <v>3.3000000000000004E-3</v>
      </c>
      <c r="Q9" s="58">
        <f t="shared" si="4"/>
        <v>1.6500000000000001E-2</v>
      </c>
      <c r="R9" s="26">
        <f t="shared" ref="R9:R65" si="11">50+J9</f>
        <v>51.65</v>
      </c>
      <c r="S9" s="27">
        <f t="shared" si="5"/>
        <v>61.65</v>
      </c>
      <c r="T9" s="25">
        <f t="shared" si="6"/>
        <v>6.7362325174825178E-3</v>
      </c>
      <c r="U9" s="28" t="str">
        <f t="shared" si="7"/>
        <v>SI</v>
      </c>
      <c r="V9" s="29">
        <f t="shared" ref="V9:V88" si="12">Q9/T9</f>
        <v>2.4494403892944039</v>
      </c>
      <c r="W9" s="20"/>
    </row>
    <row r="10" spans="1:23" x14ac:dyDescent="0.25">
      <c r="A10" s="91"/>
      <c r="B10" s="35" t="s">
        <v>45</v>
      </c>
      <c r="C10" s="2">
        <v>40</v>
      </c>
      <c r="D10" s="12"/>
      <c r="E10" s="2">
        <v>416</v>
      </c>
      <c r="F10" s="2"/>
      <c r="G10" s="16">
        <f>$C10*$H$3*'ASTM D638-Probetas'!B$6</f>
        <v>2080</v>
      </c>
      <c r="H10" s="16">
        <f>$C10*$H$3*'ASTM D638-Probetas'!C$6</f>
        <v>960</v>
      </c>
      <c r="I10" s="16">
        <f>$C10*$H$3*'ASTM D638-Probetas'!D$6</f>
        <v>5320</v>
      </c>
      <c r="J10" s="45">
        <f t="shared" si="0"/>
        <v>0</v>
      </c>
      <c r="K10" s="60">
        <f t="shared" si="1"/>
        <v>0</v>
      </c>
      <c r="L10" s="26">
        <f t="shared" si="8"/>
        <v>0</v>
      </c>
      <c r="M10" s="65">
        <f t="shared" si="9"/>
        <v>0</v>
      </c>
      <c r="N10" s="60">
        <f t="shared" si="2"/>
        <v>0</v>
      </c>
      <c r="O10" s="26">
        <f t="shared" si="3"/>
        <v>0</v>
      </c>
      <c r="P10" s="61">
        <f t="shared" si="10"/>
        <v>0</v>
      </c>
      <c r="Q10" s="58">
        <f t="shared" si="4"/>
        <v>0</v>
      </c>
      <c r="R10" s="26">
        <f t="shared" si="11"/>
        <v>50</v>
      </c>
      <c r="S10" s="27">
        <f t="shared" si="5"/>
        <v>60</v>
      </c>
      <c r="T10" s="25">
        <f t="shared" si="6"/>
        <v>6.555944055944056E-3</v>
      </c>
      <c r="U10" s="28" t="str">
        <f t="shared" si="7"/>
        <v>SI</v>
      </c>
      <c r="V10" s="29">
        <f t="shared" si="12"/>
        <v>0</v>
      </c>
      <c r="W10" s="20"/>
    </row>
    <row r="11" spans="1:23" x14ac:dyDescent="0.25">
      <c r="A11" s="91"/>
      <c r="B11" s="35" t="s">
        <v>46</v>
      </c>
      <c r="C11" s="2">
        <v>47.56</v>
      </c>
      <c r="D11" s="12"/>
      <c r="E11" s="2"/>
      <c r="F11" s="2">
        <v>15</v>
      </c>
      <c r="G11" s="16">
        <f>$C11*$H$3*'ASTM D638-Probetas'!B$6</f>
        <v>2473.12</v>
      </c>
      <c r="H11" s="16">
        <f>$C11*$H$3*'ASTM D638-Probetas'!C$6</f>
        <v>1141.44</v>
      </c>
      <c r="I11" s="16">
        <f>$C11*$H$3*'ASTM D638-Probetas'!D$6</f>
        <v>6325.4800000000005</v>
      </c>
      <c r="J11" s="45">
        <f t="shared" si="0"/>
        <v>7.5</v>
      </c>
      <c r="K11" s="60">
        <f t="shared" si="1"/>
        <v>1.143</v>
      </c>
      <c r="L11" s="26">
        <f t="shared" si="8"/>
        <v>0.1143</v>
      </c>
      <c r="M11" s="65">
        <f t="shared" si="9"/>
        <v>1.1430000000000001E-2</v>
      </c>
      <c r="N11" s="60">
        <f t="shared" si="2"/>
        <v>1.5</v>
      </c>
      <c r="O11" s="26">
        <f t="shared" si="3"/>
        <v>0.15</v>
      </c>
      <c r="P11" s="61">
        <f t="shared" si="10"/>
        <v>1.4999999999999999E-2</v>
      </c>
      <c r="Q11" s="58">
        <f t="shared" si="4"/>
        <v>7.4999999999999997E-2</v>
      </c>
      <c r="R11" s="26">
        <f t="shared" si="11"/>
        <v>57.5</v>
      </c>
      <c r="S11" s="27">
        <f t="shared" si="5"/>
        <v>67.5</v>
      </c>
      <c r="T11" s="25">
        <f t="shared" si="6"/>
        <v>7.375437062937063E-3</v>
      </c>
      <c r="U11" s="28" t="str">
        <f t="shared" si="7"/>
        <v>SI</v>
      </c>
      <c r="V11" s="29">
        <f t="shared" si="12"/>
        <v>10.168888888888889</v>
      </c>
      <c r="W11" s="20"/>
    </row>
    <row r="12" spans="1:23" x14ac:dyDescent="0.25">
      <c r="A12" s="91"/>
      <c r="B12" s="35" t="s">
        <v>47</v>
      </c>
      <c r="C12" s="3">
        <v>53</v>
      </c>
      <c r="D12" s="14"/>
      <c r="E12" s="3"/>
      <c r="F12" s="2">
        <v>130</v>
      </c>
      <c r="G12" s="16">
        <f>$C12*$H$3*'ASTM D638-Probetas'!B$6</f>
        <v>2756</v>
      </c>
      <c r="H12" s="16">
        <f>$C12*$H$3*'ASTM D638-Probetas'!C$6</f>
        <v>1272</v>
      </c>
      <c r="I12" s="16">
        <f>$C12*$H$3*'ASTM D638-Probetas'!D$6</f>
        <v>7049</v>
      </c>
      <c r="J12" s="45">
        <f t="shared" si="0"/>
        <v>65</v>
      </c>
      <c r="K12" s="60">
        <f t="shared" si="1"/>
        <v>9.9060000000000006</v>
      </c>
      <c r="L12" s="26">
        <f t="shared" si="8"/>
        <v>0.99060000000000004</v>
      </c>
      <c r="M12" s="65">
        <f t="shared" si="9"/>
        <v>9.9060000000000009E-2</v>
      </c>
      <c r="N12" s="60">
        <f t="shared" si="2"/>
        <v>13</v>
      </c>
      <c r="O12" s="26">
        <f t="shared" si="3"/>
        <v>1.3</v>
      </c>
      <c r="P12" s="61">
        <f t="shared" si="10"/>
        <v>0.13</v>
      </c>
      <c r="Q12" s="58">
        <f t="shared" si="4"/>
        <v>0.65</v>
      </c>
      <c r="R12" s="26">
        <f t="shared" si="11"/>
        <v>115</v>
      </c>
      <c r="S12" s="27">
        <f t="shared" si="5"/>
        <v>125</v>
      </c>
      <c r="T12" s="25">
        <f t="shared" si="6"/>
        <v>1.3658216783216784E-2</v>
      </c>
      <c r="U12" s="28" t="str">
        <f t="shared" si="7"/>
        <v>SI</v>
      </c>
      <c r="V12" s="29">
        <f t="shared" si="12"/>
        <v>47.590400000000002</v>
      </c>
      <c r="W12" s="20"/>
    </row>
    <row r="13" spans="1:23" x14ac:dyDescent="0.25">
      <c r="A13" s="91"/>
      <c r="B13" s="35" t="s">
        <v>48</v>
      </c>
      <c r="C13" s="3">
        <v>55</v>
      </c>
      <c r="D13" s="14"/>
      <c r="E13" s="3">
        <v>1400</v>
      </c>
      <c r="F13" s="3">
        <v>50</v>
      </c>
      <c r="G13" s="16">
        <f>$C13*$H$3*'ASTM D638-Probetas'!B$6</f>
        <v>2860</v>
      </c>
      <c r="H13" s="16">
        <f>$C13*$H$3*'ASTM D638-Probetas'!C$6</f>
        <v>1320</v>
      </c>
      <c r="I13" s="16">
        <f>$C13*$H$3*'ASTM D638-Probetas'!D$6</f>
        <v>7315</v>
      </c>
      <c r="J13" s="45">
        <f t="shared" si="0"/>
        <v>25</v>
      </c>
      <c r="K13" s="60">
        <f t="shared" si="1"/>
        <v>3.81</v>
      </c>
      <c r="L13" s="26">
        <f t="shared" si="8"/>
        <v>0.38100000000000001</v>
      </c>
      <c r="M13" s="65">
        <f t="shared" si="9"/>
        <v>3.8100000000000002E-2</v>
      </c>
      <c r="N13" s="60">
        <f t="shared" si="2"/>
        <v>5</v>
      </c>
      <c r="O13" s="26">
        <f t="shared" si="3"/>
        <v>0.5</v>
      </c>
      <c r="P13" s="61">
        <f t="shared" si="10"/>
        <v>0.05</v>
      </c>
      <c r="Q13" s="58">
        <f t="shared" si="4"/>
        <v>0.25</v>
      </c>
      <c r="R13" s="26">
        <f t="shared" si="11"/>
        <v>75</v>
      </c>
      <c r="S13" s="27">
        <f t="shared" si="5"/>
        <v>85</v>
      </c>
      <c r="T13" s="25">
        <f t="shared" si="6"/>
        <v>9.2875874125874121E-3</v>
      </c>
      <c r="U13" s="28" t="str">
        <f t="shared" si="7"/>
        <v>SI</v>
      </c>
      <c r="V13" s="29">
        <f t="shared" si="12"/>
        <v>26.91764705882353</v>
      </c>
      <c r="W13" s="20"/>
    </row>
    <row r="14" spans="1:23" x14ac:dyDescent="0.25">
      <c r="A14" s="91"/>
      <c r="B14" s="35" t="s">
        <v>49</v>
      </c>
      <c r="C14" s="3">
        <v>45</v>
      </c>
      <c r="D14" s="14"/>
      <c r="E14" s="3">
        <v>1700</v>
      </c>
      <c r="F14" s="3">
        <v>50</v>
      </c>
      <c r="G14" s="16">
        <f>$C14*$H$3*'ASTM D638-Probetas'!B$6</f>
        <v>2340</v>
      </c>
      <c r="H14" s="16">
        <f>$C14*$H$3*'ASTM D638-Probetas'!C$6</f>
        <v>1080</v>
      </c>
      <c r="I14" s="16">
        <f>$C14*$H$3*'ASTM D638-Probetas'!D$6</f>
        <v>5985</v>
      </c>
      <c r="J14" s="45">
        <f t="shared" si="0"/>
        <v>25</v>
      </c>
      <c r="K14" s="60">
        <f t="shared" si="1"/>
        <v>3.81</v>
      </c>
      <c r="L14" s="26">
        <f t="shared" si="8"/>
        <v>0.38100000000000001</v>
      </c>
      <c r="M14" s="65">
        <f t="shared" si="9"/>
        <v>3.8100000000000002E-2</v>
      </c>
      <c r="N14" s="60">
        <f t="shared" si="2"/>
        <v>5</v>
      </c>
      <c r="O14" s="26">
        <f t="shared" si="3"/>
        <v>0.5</v>
      </c>
      <c r="P14" s="61">
        <f t="shared" si="10"/>
        <v>0.05</v>
      </c>
      <c r="Q14" s="58">
        <f t="shared" si="4"/>
        <v>0.25</v>
      </c>
      <c r="R14" s="26">
        <f t="shared" si="11"/>
        <v>75</v>
      </c>
      <c r="S14" s="27">
        <f t="shared" si="5"/>
        <v>85</v>
      </c>
      <c r="T14" s="25">
        <f t="shared" si="6"/>
        <v>9.2875874125874121E-3</v>
      </c>
      <c r="U14" s="28" t="str">
        <f t="shared" si="7"/>
        <v>SI</v>
      </c>
      <c r="V14" s="29">
        <f t="shared" si="12"/>
        <v>26.91764705882353</v>
      </c>
      <c r="W14" s="20"/>
    </row>
    <row r="15" spans="1:23" x14ac:dyDescent="0.25">
      <c r="A15" s="92"/>
      <c r="B15" s="35" t="s">
        <v>50</v>
      </c>
      <c r="C15" s="2">
        <v>17</v>
      </c>
      <c r="D15" s="12"/>
      <c r="E15" s="2">
        <v>1350</v>
      </c>
      <c r="F15" s="2">
        <v>50</v>
      </c>
      <c r="G15" s="16">
        <f>$C15*$H$3*'ASTM D638-Probetas'!B$6</f>
        <v>884</v>
      </c>
      <c r="H15" s="16">
        <f>$C15*$H$3*'ASTM D638-Probetas'!C$6</f>
        <v>408</v>
      </c>
      <c r="I15" s="16">
        <f>$C15*$H$3*'ASTM D638-Probetas'!D$6</f>
        <v>2261</v>
      </c>
      <c r="J15" s="45">
        <f t="shared" si="0"/>
        <v>25</v>
      </c>
      <c r="K15" s="60">
        <f t="shared" si="1"/>
        <v>3.81</v>
      </c>
      <c r="L15" s="26">
        <f t="shared" si="8"/>
        <v>0.38100000000000001</v>
      </c>
      <c r="M15" s="65">
        <f t="shared" si="9"/>
        <v>3.8100000000000002E-2</v>
      </c>
      <c r="N15" s="60">
        <f t="shared" si="2"/>
        <v>5</v>
      </c>
      <c r="O15" s="26">
        <f t="shared" si="3"/>
        <v>0.5</v>
      </c>
      <c r="P15" s="61">
        <f t="shared" si="10"/>
        <v>0.05</v>
      </c>
      <c r="Q15" s="58">
        <f t="shared" si="4"/>
        <v>0.25</v>
      </c>
      <c r="R15" s="26">
        <f t="shared" si="11"/>
        <v>75</v>
      </c>
      <c r="S15" s="27">
        <f t="shared" si="5"/>
        <v>85</v>
      </c>
      <c r="T15" s="25">
        <f t="shared" si="6"/>
        <v>9.2875874125874121E-3</v>
      </c>
      <c r="U15" s="28" t="str">
        <f t="shared" si="7"/>
        <v>SI</v>
      </c>
      <c r="V15" s="29">
        <f t="shared" si="12"/>
        <v>26.91764705882353</v>
      </c>
      <c r="W15" s="20"/>
    </row>
    <row r="16" spans="1:23" x14ac:dyDescent="0.25">
      <c r="A16" s="90" t="s">
        <v>51</v>
      </c>
      <c r="B16" s="35" t="s">
        <v>52</v>
      </c>
      <c r="C16" s="4">
        <v>53</v>
      </c>
      <c r="D16" s="13"/>
      <c r="E16" s="4">
        <v>3600</v>
      </c>
      <c r="F16" s="4">
        <v>6</v>
      </c>
      <c r="G16" s="16">
        <f>$C16*$H$3*'ASTM D638-Probetas'!B$6</f>
        <v>2756</v>
      </c>
      <c r="H16" s="16">
        <f>$C16*$H$3*'ASTM D638-Probetas'!C$6</f>
        <v>1272</v>
      </c>
      <c r="I16" s="16">
        <f>$C16*$H$3*'ASTM D638-Probetas'!D$6</f>
        <v>7049</v>
      </c>
      <c r="J16" s="45">
        <f t="shared" si="0"/>
        <v>3</v>
      </c>
      <c r="K16" s="60">
        <f t="shared" si="1"/>
        <v>0.4572</v>
      </c>
      <c r="L16" s="26">
        <f t="shared" si="8"/>
        <v>4.5720000000000004E-2</v>
      </c>
      <c r="M16" s="65">
        <f t="shared" si="9"/>
        <v>4.5719999999999997E-3</v>
      </c>
      <c r="N16" s="60">
        <f t="shared" si="2"/>
        <v>0.6</v>
      </c>
      <c r="O16" s="26">
        <f t="shared" si="3"/>
        <v>0.06</v>
      </c>
      <c r="P16" s="61">
        <f t="shared" si="10"/>
        <v>6.0000000000000001E-3</v>
      </c>
      <c r="Q16" s="58">
        <f t="shared" si="4"/>
        <v>0.03</v>
      </c>
      <c r="R16" s="26">
        <f t="shared" si="11"/>
        <v>53</v>
      </c>
      <c r="S16" s="27">
        <f t="shared" si="5"/>
        <v>63</v>
      </c>
      <c r="T16" s="25">
        <f t="shared" si="6"/>
        <v>6.883741258741259E-3</v>
      </c>
      <c r="U16" s="28" t="str">
        <f t="shared" si="7"/>
        <v>SI</v>
      </c>
      <c r="V16" s="29">
        <f t="shared" si="12"/>
        <v>4.3580952380952374</v>
      </c>
      <c r="W16" s="20"/>
    </row>
    <row r="17" spans="1:23" x14ac:dyDescent="0.25">
      <c r="A17" s="91"/>
      <c r="B17" s="35" t="s">
        <v>53</v>
      </c>
      <c r="C17" s="4">
        <v>51</v>
      </c>
      <c r="D17" s="13"/>
      <c r="E17" s="2">
        <v>2315</v>
      </c>
      <c r="F17" s="2">
        <v>3.31</v>
      </c>
      <c r="G17" s="16">
        <f>$C17*$H$3*'ASTM D638-Probetas'!B$6</f>
        <v>2652</v>
      </c>
      <c r="H17" s="16">
        <f>$C17*$H$3*'ASTM D638-Probetas'!C$6</f>
        <v>1224</v>
      </c>
      <c r="I17" s="16">
        <f>$C17*$H$3*'ASTM D638-Probetas'!D$6</f>
        <v>6783</v>
      </c>
      <c r="J17" s="45">
        <f t="shared" si="0"/>
        <v>1.6549999999999998</v>
      </c>
      <c r="K17" s="60">
        <f t="shared" si="1"/>
        <v>0.252222</v>
      </c>
      <c r="L17" s="26">
        <f t="shared" si="8"/>
        <v>2.5222199999999997E-2</v>
      </c>
      <c r="M17" s="65">
        <f t="shared" si="9"/>
        <v>2.5222199999999999E-3</v>
      </c>
      <c r="N17" s="67">
        <f t="shared" si="2"/>
        <v>0.33099999999999996</v>
      </c>
      <c r="O17" s="26">
        <f t="shared" si="3"/>
        <v>3.3099999999999997E-2</v>
      </c>
      <c r="P17" s="61">
        <f t="shared" si="10"/>
        <v>3.3099999999999996E-3</v>
      </c>
      <c r="Q17" s="58">
        <f t="shared" si="4"/>
        <v>1.6549999999999999E-2</v>
      </c>
      <c r="R17" s="26">
        <f t="shared" si="11"/>
        <v>51.655000000000001</v>
      </c>
      <c r="S17" s="27">
        <f t="shared" si="5"/>
        <v>61.655000000000001</v>
      </c>
      <c r="T17" s="25">
        <f t="shared" si="6"/>
        <v>6.7367788461538463E-3</v>
      </c>
      <c r="U17" s="28" t="str">
        <f t="shared" si="7"/>
        <v>SI</v>
      </c>
      <c r="V17" s="29">
        <f t="shared" si="12"/>
        <v>2.4566636931311328</v>
      </c>
      <c r="W17" s="20"/>
    </row>
    <row r="18" spans="1:23" x14ac:dyDescent="0.25">
      <c r="A18" s="91"/>
      <c r="B18" s="35" t="s">
        <v>54</v>
      </c>
      <c r="C18" s="4">
        <v>79</v>
      </c>
      <c r="D18" s="13"/>
      <c r="E18" s="4">
        <v>3622</v>
      </c>
      <c r="F18" s="4">
        <v>6</v>
      </c>
      <c r="G18" s="16">
        <f>$C18*$H$3*'ASTM D638-Probetas'!B$6</f>
        <v>4108</v>
      </c>
      <c r="H18" s="16">
        <f>$C18*$H$3*'ASTM D638-Probetas'!C$6</f>
        <v>1896</v>
      </c>
      <c r="I18" s="16">
        <f>$C18*$H$3*'ASTM D638-Probetas'!D$6</f>
        <v>10507</v>
      </c>
      <c r="J18" s="45">
        <f t="shared" si="0"/>
        <v>3</v>
      </c>
      <c r="K18" s="60">
        <f t="shared" si="1"/>
        <v>0.4572</v>
      </c>
      <c r="L18" s="26">
        <f t="shared" si="8"/>
        <v>4.5720000000000004E-2</v>
      </c>
      <c r="M18" s="65">
        <f t="shared" si="9"/>
        <v>4.5719999999999997E-3</v>
      </c>
      <c r="N18" s="60">
        <f t="shared" si="2"/>
        <v>0.6</v>
      </c>
      <c r="O18" s="26">
        <f t="shared" si="3"/>
        <v>0.06</v>
      </c>
      <c r="P18" s="61">
        <f t="shared" si="10"/>
        <v>6.0000000000000001E-3</v>
      </c>
      <c r="Q18" s="58">
        <f t="shared" si="4"/>
        <v>0.03</v>
      </c>
      <c r="R18" s="26">
        <f t="shared" si="11"/>
        <v>53</v>
      </c>
      <c r="S18" s="27">
        <f t="shared" si="5"/>
        <v>63</v>
      </c>
      <c r="T18" s="25">
        <f t="shared" si="6"/>
        <v>6.883741258741259E-3</v>
      </c>
      <c r="U18" s="28" t="str">
        <f t="shared" si="7"/>
        <v>SI</v>
      </c>
      <c r="V18" s="29">
        <f t="shared" si="12"/>
        <v>4.3580952380952374</v>
      </c>
      <c r="W18" s="20"/>
    </row>
    <row r="19" spans="1:23" x14ac:dyDescent="0.25">
      <c r="A19" s="91"/>
      <c r="B19" s="35" t="s">
        <v>46</v>
      </c>
      <c r="C19" s="2">
        <v>35</v>
      </c>
      <c r="D19" s="12" t="s">
        <v>170</v>
      </c>
      <c r="E19" s="2">
        <v>2480</v>
      </c>
      <c r="F19" s="2">
        <v>18</v>
      </c>
      <c r="G19" s="16">
        <f>$C19*$H$3*'ASTM D638-Probetas'!B$6</f>
        <v>1820</v>
      </c>
      <c r="H19" s="16">
        <f>$C19*$H$3*'ASTM D638-Probetas'!C$6</f>
        <v>840</v>
      </c>
      <c r="I19" s="16">
        <f>$C19*$H$3*'ASTM D638-Probetas'!D$6</f>
        <v>4655</v>
      </c>
      <c r="J19" s="45">
        <f t="shared" si="0"/>
        <v>9</v>
      </c>
      <c r="K19" s="60">
        <f t="shared" si="1"/>
        <v>1.3715999999999999</v>
      </c>
      <c r="L19" s="26">
        <f t="shared" si="8"/>
        <v>0.13716</v>
      </c>
      <c r="M19" s="65">
        <f t="shared" si="9"/>
        <v>1.3715999999999999E-2</v>
      </c>
      <c r="N19" s="60">
        <f t="shared" si="2"/>
        <v>1.8</v>
      </c>
      <c r="O19" s="26">
        <f t="shared" si="3"/>
        <v>0.18</v>
      </c>
      <c r="P19" s="61">
        <f t="shared" si="10"/>
        <v>1.7999999999999999E-2</v>
      </c>
      <c r="Q19" s="58">
        <f t="shared" si="4"/>
        <v>0.09</v>
      </c>
      <c r="R19" s="26">
        <f t="shared" si="11"/>
        <v>59</v>
      </c>
      <c r="S19" s="27">
        <f t="shared" si="5"/>
        <v>69</v>
      </c>
      <c r="T19" s="25">
        <f t="shared" si="6"/>
        <v>7.539335664335664E-3</v>
      </c>
      <c r="U19" s="28" t="str">
        <f t="shared" si="7"/>
        <v>SI</v>
      </c>
      <c r="V19" s="29">
        <f t="shared" si="12"/>
        <v>11.937391304347827</v>
      </c>
      <c r="W19" s="20"/>
    </row>
    <row r="20" spans="1:23" x14ac:dyDescent="0.25">
      <c r="A20" s="91"/>
      <c r="B20" s="35" t="s">
        <v>47</v>
      </c>
      <c r="C20" s="2">
        <v>50</v>
      </c>
      <c r="D20" s="12"/>
      <c r="E20" s="2"/>
      <c r="F20" s="2">
        <v>130</v>
      </c>
      <c r="G20" s="16">
        <f>$C20*$H$3*'ASTM D638-Probetas'!B$6</f>
        <v>2600</v>
      </c>
      <c r="H20" s="16">
        <f>$C20*$H$3*'ASTM D638-Probetas'!C$6</f>
        <v>1200</v>
      </c>
      <c r="I20" s="16">
        <f>$C20*$H$3*'ASTM D638-Probetas'!D$6</f>
        <v>6650</v>
      </c>
      <c r="J20" s="45">
        <f t="shared" si="0"/>
        <v>65</v>
      </c>
      <c r="K20" s="60">
        <f t="shared" si="1"/>
        <v>9.9060000000000006</v>
      </c>
      <c r="L20" s="26">
        <f t="shared" si="8"/>
        <v>0.99060000000000004</v>
      </c>
      <c r="M20" s="65">
        <f t="shared" si="9"/>
        <v>9.9060000000000009E-2</v>
      </c>
      <c r="N20" s="60">
        <f t="shared" si="2"/>
        <v>13</v>
      </c>
      <c r="O20" s="26">
        <f t="shared" si="3"/>
        <v>1.3</v>
      </c>
      <c r="P20" s="61">
        <f t="shared" si="10"/>
        <v>0.13</v>
      </c>
      <c r="Q20" s="58">
        <f t="shared" si="4"/>
        <v>0.65</v>
      </c>
      <c r="R20" s="26">
        <f t="shared" si="11"/>
        <v>115</v>
      </c>
      <c r="S20" s="27">
        <f t="shared" si="5"/>
        <v>125</v>
      </c>
      <c r="T20" s="25">
        <f t="shared" si="6"/>
        <v>1.3658216783216784E-2</v>
      </c>
      <c r="U20" s="28" t="str">
        <f t="shared" si="7"/>
        <v>SI</v>
      </c>
      <c r="V20" s="29">
        <f t="shared" si="12"/>
        <v>47.590400000000002</v>
      </c>
      <c r="W20" s="20"/>
    </row>
    <row r="21" spans="1:23" x14ac:dyDescent="0.25">
      <c r="A21" s="91"/>
      <c r="B21" s="35" t="s">
        <v>50</v>
      </c>
      <c r="C21" s="2">
        <v>23</v>
      </c>
      <c r="D21" s="12"/>
      <c r="E21" s="2">
        <v>2000</v>
      </c>
      <c r="F21" s="2">
        <v>50</v>
      </c>
      <c r="G21" s="16">
        <f>$C21*$H$3*'ASTM D638-Probetas'!B$6</f>
        <v>1196</v>
      </c>
      <c r="H21" s="16">
        <f>$C21*$H$3*'ASTM D638-Probetas'!C$6</f>
        <v>552</v>
      </c>
      <c r="I21" s="16">
        <f>$C21*$H$3*'ASTM D638-Probetas'!D$6</f>
        <v>3059</v>
      </c>
      <c r="J21" s="45">
        <f t="shared" si="0"/>
        <v>25</v>
      </c>
      <c r="K21" s="60">
        <f t="shared" si="1"/>
        <v>3.81</v>
      </c>
      <c r="L21" s="26">
        <f t="shared" si="8"/>
        <v>0.38100000000000001</v>
      </c>
      <c r="M21" s="65">
        <f t="shared" si="9"/>
        <v>3.8100000000000002E-2</v>
      </c>
      <c r="N21" s="60">
        <f t="shared" si="2"/>
        <v>5</v>
      </c>
      <c r="O21" s="26">
        <f t="shared" si="3"/>
        <v>0.5</v>
      </c>
      <c r="P21" s="61">
        <f t="shared" si="10"/>
        <v>0.05</v>
      </c>
      <c r="Q21" s="58">
        <f t="shared" si="4"/>
        <v>0.25</v>
      </c>
      <c r="R21" s="26">
        <f t="shared" si="11"/>
        <v>75</v>
      </c>
      <c r="S21" s="27">
        <f t="shared" si="5"/>
        <v>85</v>
      </c>
      <c r="T21" s="25">
        <f t="shared" si="6"/>
        <v>9.2875874125874121E-3</v>
      </c>
      <c r="U21" s="28" t="str">
        <f t="shared" si="7"/>
        <v>SI</v>
      </c>
      <c r="V21" s="29">
        <f t="shared" si="12"/>
        <v>26.91764705882353</v>
      </c>
      <c r="W21" s="20"/>
    </row>
    <row r="22" spans="1:23" x14ac:dyDescent="0.25">
      <c r="A22" s="91"/>
      <c r="B22" s="35" t="s">
        <v>55</v>
      </c>
      <c r="C22" s="3">
        <v>50</v>
      </c>
      <c r="D22" s="14"/>
      <c r="E22" s="3">
        <v>2350</v>
      </c>
      <c r="F22" s="3">
        <v>110</v>
      </c>
      <c r="G22" s="16">
        <f>$C22*$H$3*'ASTM D638-Probetas'!B$6</f>
        <v>2600</v>
      </c>
      <c r="H22" s="16">
        <f>$C22*$H$3*'ASTM D638-Probetas'!C$6</f>
        <v>1200</v>
      </c>
      <c r="I22" s="16">
        <f>$C22*$H$3*'ASTM D638-Probetas'!D$6</f>
        <v>6650</v>
      </c>
      <c r="J22" s="45">
        <f t="shared" si="0"/>
        <v>55.000000000000007</v>
      </c>
      <c r="K22" s="60">
        <f t="shared" si="1"/>
        <v>8.3820000000000014</v>
      </c>
      <c r="L22" s="26">
        <f t="shared" si="8"/>
        <v>0.83820000000000017</v>
      </c>
      <c r="M22" s="65">
        <f t="shared" si="9"/>
        <v>8.3820000000000006E-2</v>
      </c>
      <c r="N22" s="60">
        <f t="shared" si="2"/>
        <v>11.000000000000002</v>
      </c>
      <c r="O22" s="26">
        <f t="shared" si="3"/>
        <v>1.1000000000000001</v>
      </c>
      <c r="P22" s="61">
        <f t="shared" si="10"/>
        <v>0.11000000000000001</v>
      </c>
      <c r="Q22" s="58">
        <f t="shared" si="4"/>
        <v>0.55000000000000004</v>
      </c>
      <c r="R22" s="26">
        <f t="shared" si="11"/>
        <v>105</v>
      </c>
      <c r="S22" s="27">
        <f t="shared" si="5"/>
        <v>115</v>
      </c>
      <c r="T22" s="25">
        <f t="shared" si="6"/>
        <v>1.256555944055944E-2</v>
      </c>
      <c r="U22" s="28" t="str">
        <f t="shared" si="7"/>
        <v>SI</v>
      </c>
      <c r="V22" s="29">
        <f t="shared" si="12"/>
        <v>43.770434782608703</v>
      </c>
      <c r="W22" s="20"/>
    </row>
    <row r="23" spans="1:23" x14ac:dyDescent="0.25">
      <c r="A23" s="91"/>
      <c r="B23" s="35" t="s">
        <v>56</v>
      </c>
      <c r="C23" s="3">
        <v>45</v>
      </c>
      <c r="D23" s="14"/>
      <c r="E23" s="3"/>
      <c r="F23" s="3">
        <v>100</v>
      </c>
      <c r="G23" s="16">
        <f>$C23*$H$3*'ASTM D638-Probetas'!B$6</f>
        <v>2340</v>
      </c>
      <c r="H23" s="16">
        <f>$C23*$H$3*'ASTM D638-Probetas'!C$6</f>
        <v>1080</v>
      </c>
      <c r="I23" s="16">
        <f>$C23*$H$3*'ASTM D638-Probetas'!D$6</f>
        <v>5985</v>
      </c>
      <c r="J23" s="45">
        <f t="shared" si="0"/>
        <v>50</v>
      </c>
      <c r="K23" s="60">
        <f t="shared" si="1"/>
        <v>7.62</v>
      </c>
      <c r="L23" s="26">
        <f t="shared" si="8"/>
        <v>0.76200000000000001</v>
      </c>
      <c r="M23" s="65">
        <f t="shared" si="9"/>
        <v>7.6200000000000004E-2</v>
      </c>
      <c r="N23" s="60">
        <f t="shared" si="2"/>
        <v>10</v>
      </c>
      <c r="O23" s="26">
        <f t="shared" si="3"/>
        <v>1</v>
      </c>
      <c r="P23" s="61">
        <f t="shared" si="10"/>
        <v>0.1</v>
      </c>
      <c r="Q23" s="58">
        <f t="shared" si="4"/>
        <v>0.5</v>
      </c>
      <c r="R23" s="26">
        <f t="shared" si="11"/>
        <v>100</v>
      </c>
      <c r="S23" s="27">
        <f t="shared" si="5"/>
        <v>110</v>
      </c>
      <c r="T23" s="25">
        <f t="shared" si="6"/>
        <v>1.201923076923077E-2</v>
      </c>
      <c r="U23" s="28" t="str">
        <f t="shared" si="7"/>
        <v>SI</v>
      </c>
      <c r="V23" s="29">
        <f t="shared" si="12"/>
        <v>41.599999999999994</v>
      </c>
      <c r="W23" s="20"/>
    </row>
    <row r="24" spans="1:23" x14ac:dyDescent="0.25">
      <c r="A24" s="95" t="s">
        <v>57</v>
      </c>
      <c r="B24" s="35" t="s">
        <v>119</v>
      </c>
      <c r="C24" s="2">
        <v>48</v>
      </c>
      <c r="D24" s="12" t="s">
        <v>170</v>
      </c>
      <c r="E24" s="2">
        <v>2100</v>
      </c>
      <c r="F24" s="2">
        <v>19</v>
      </c>
      <c r="G24" s="16">
        <f>$C24*$H$3*'ASTM D638-Probetas'!B$6</f>
        <v>2496</v>
      </c>
      <c r="H24" s="16">
        <f>$C24*$H$3*'ASTM D638-Probetas'!C$6</f>
        <v>1152</v>
      </c>
      <c r="I24" s="16">
        <f>$C24*$H$3*'ASTM D638-Probetas'!D$6</f>
        <v>6384</v>
      </c>
      <c r="J24" s="45">
        <f t="shared" si="0"/>
        <v>9.5</v>
      </c>
      <c r="K24" s="60">
        <f t="shared" si="1"/>
        <v>1.4478</v>
      </c>
      <c r="L24" s="26">
        <f t="shared" si="8"/>
        <v>0.14477999999999999</v>
      </c>
      <c r="M24" s="65">
        <f t="shared" si="9"/>
        <v>1.4478E-2</v>
      </c>
      <c r="N24" s="60">
        <f t="shared" si="2"/>
        <v>1.9</v>
      </c>
      <c r="O24" s="26">
        <f t="shared" si="3"/>
        <v>0.19</v>
      </c>
      <c r="P24" s="61">
        <f t="shared" si="10"/>
        <v>1.9E-2</v>
      </c>
      <c r="Q24" s="58">
        <f t="shared" si="4"/>
        <v>9.5000000000000001E-2</v>
      </c>
      <c r="R24" s="26">
        <f t="shared" si="11"/>
        <v>59.5</v>
      </c>
      <c r="S24" s="27">
        <f t="shared" si="5"/>
        <v>69.5</v>
      </c>
      <c r="T24" s="25">
        <f t="shared" si="6"/>
        <v>7.5939685314685311E-3</v>
      </c>
      <c r="U24" s="28" t="str">
        <f t="shared" si="7"/>
        <v>SI</v>
      </c>
      <c r="V24" s="29">
        <f t="shared" si="12"/>
        <v>12.509928057553958</v>
      </c>
      <c r="W24" s="20"/>
    </row>
    <row r="25" spans="1:23" x14ac:dyDescent="0.25">
      <c r="A25" s="96"/>
      <c r="B25" s="35" t="s">
        <v>122</v>
      </c>
      <c r="C25" s="2">
        <v>40</v>
      </c>
      <c r="D25" s="12"/>
      <c r="E25" s="2">
        <v>1780</v>
      </c>
      <c r="F25" s="2">
        <v>36</v>
      </c>
      <c r="G25" s="16">
        <f>$C25*$H$3*'ASTM D638-Probetas'!B$6</f>
        <v>2080</v>
      </c>
      <c r="H25" s="16">
        <f>$C25*$H$3*'ASTM D638-Probetas'!C$6</f>
        <v>960</v>
      </c>
      <c r="I25" s="16">
        <f>$C25*$H$3*'ASTM D638-Probetas'!D$6</f>
        <v>5320</v>
      </c>
      <c r="J25" s="45">
        <f t="shared" si="0"/>
        <v>18</v>
      </c>
      <c r="K25" s="60">
        <f t="shared" si="1"/>
        <v>2.7431999999999999</v>
      </c>
      <c r="L25" s="26">
        <f t="shared" si="8"/>
        <v>0.27432000000000001</v>
      </c>
      <c r="M25" s="65">
        <f t="shared" si="9"/>
        <v>2.7431999999999998E-2</v>
      </c>
      <c r="N25" s="60">
        <f t="shared" si="2"/>
        <v>3.6</v>
      </c>
      <c r="O25" s="26">
        <f t="shared" si="3"/>
        <v>0.36</v>
      </c>
      <c r="P25" s="61">
        <f t="shared" si="10"/>
        <v>3.5999999999999997E-2</v>
      </c>
      <c r="Q25" s="58">
        <f t="shared" si="4"/>
        <v>0.18</v>
      </c>
      <c r="R25" s="26">
        <f t="shared" si="11"/>
        <v>68</v>
      </c>
      <c r="S25" s="27">
        <f t="shared" si="5"/>
        <v>78</v>
      </c>
      <c r="T25" s="25">
        <f t="shared" si="6"/>
        <v>8.5227272727272721E-3</v>
      </c>
      <c r="U25" s="28" t="str">
        <f t="shared" si="7"/>
        <v>SI</v>
      </c>
      <c r="V25" s="29">
        <f t="shared" si="12"/>
        <v>21.12</v>
      </c>
      <c r="W25" s="20"/>
    </row>
    <row r="26" spans="1:23" x14ac:dyDescent="0.25">
      <c r="A26" s="96"/>
      <c r="B26" s="35" t="s">
        <v>121</v>
      </c>
      <c r="C26" s="2">
        <v>61</v>
      </c>
      <c r="D26" s="12"/>
      <c r="E26" s="2">
        <v>2400</v>
      </c>
      <c r="F26" s="2">
        <v>30</v>
      </c>
      <c r="G26" s="16">
        <f>$C26*$H$3*'ASTM D638-Probetas'!B$6</f>
        <v>3172</v>
      </c>
      <c r="H26" s="16">
        <f>$C26*$H$3*'ASTM D638-Probetas'!C$6</f>
        <v>1464</v>
      </c>
      <c r="I26" s="16">
        <f>$C26*$H$3*'ASTM D638-Probetas'!D$6</f>
        <v>8113</v>
      </c>
      <c r="J26" s="45">
        <f t="shared" si="0"/>
        <v>15</v>
      </c>
      <c r="K26" s="60">
        <f t="shared" si="1"/>
        <v>2.286</v>
      </c>
      <c r="L26" s="26">
        <f t="shared" si="8"/>
        <v>0.2286</v>
      </c>
      <c r="M26" s="65">
        <f t="shared" si="9"/>
        <v>2.2860000000000002E-2</v>
      </c>
      <c r="N26" s="60">
        <f t="shared" si="2"/>
        <v>3</v>
      </c>
      <c r="O26" s="26">
        <f t="shared" si="3"/>
        <v>0.3</v>
      </c>
      <c r="P26" s="61">
        <f t="shared" si="10"/>
        <v>0.03</v>
      </c>
      <c r="Q26" s="58">
        <f t="shared" si="4"/>
        <v>0.15</v>
      </c>
      <c r="R26" s="26">
        <f t="shared" si="11"/>
        <v>65</v>
      </c>
      <c r="S26" s="27">
        <f t="shared" si="5"/>
        <v>75</v>
      </c>
      <c r="T26" s="25">
        <f t="shared" si="6"/>
        <v>8.19493006993007E-3</v>
      </c>
      <c r="U26" s="28" t="str">
        <f t="shared" si="7"/>
        <v>SI</v>
      </c>
      <c r="V26" s="29">
        <f t="shared" si="12"/>
        <v>18.303999999999998</v>
      </c>
      <c r="W26" s="20"/>
    </row>
    <row r="27" spans="1:23" x14ac:dyDescent="0.25">
      <c r="A27" s="96"/>
      <c r="B27" s="35" t="s">
        <v>120</v>
      </c>
      <c r="C27" s="2">
        <v>48</v>
      </c>
      <c r="D27" s="12"/>
      <c r="E27" s="2">
        <v>2120</v>
      </c>
      <c r="F27" s="2">
        <v>35</v>
      </c>
      <c r="G27" s="16">
        <f>$C27*$H$3*'ASTM D638-Probetas'!B$6</f>
        <v>2496</v>
      </c>
      <c r="H27" s="16">
        <f>$C27*$H$3*'ASTM D638-Probetas'!C$6</f>
        <v>1152</v>
      </c>
      <c r="I27" s="16">
        <f>$C27*$H$3*'ASTM D638-Probetas'!D$6</f>
        <v>6384</v>
      </c>
      <c r="J27" s="45">
        <f t="shared" si="0"/>
        <v>17.5</v>
      </c>
      <c r="K27" s="60">
        <f t="shared" si="1"/>
        <v>2.6669999999999998</v>
      </c>
      <c r="L27" s="26">
        <f t="shared" si="8"/>
        <v>0.26670000000000005</v>
      </c>
      <c r="M27" s="65">
        <f t="shared" si="9"/>
        <v>2.6669999999999999E-2</v>
      </c>
      <c r="N27" s="60">
        <f t="shared" si="2"/>
        <v>3.5</v>
      </c>
      <c r="O27" s="26">
        <f t="shared" si="3"/>
        <v>0.35</v>
      </c>
      <c r="P27" s="61">
        <f t="shared" si="10"/>
        <v>3.5000000000000003E-2</v>
      </c>
      <c r="Q27" s="58">
        <f t="shared" si="4"/>
        <v>0.17499999999999999</v>
      </c>
      <c r="R27" s="26">
        <f t="shared" si="11"/>
        <v>67.5</v>
      </c>
      <c r="S27" s="27">
        <f t="shared" si="5"/>
        <v>77.5</v>
      </c>
      <c r="T27" s="25">
        <f t="shared" si="6"/>
        <v>8.4680944055944059E-3</v>
      </c>
      <c r="U27" s="28" t="str">
        <f t="shared" si="7"/>
        <v>SI</v>
      </c>
      <c r="V27" s="29">
        <f t="shared" si="12"/>
        <v>20.665806451612902</v>
      </c>
      <c r="W27" s="20"/>
    </row>
    <row r="28" spans="1:23" x14ac:dyDescent="0.25">
      <c r="A28" s="96"/>
      <c r="B28" s="35" t="s">
        <v>127</v>
      </c>
      <c r="C28" s="2">
        <v>68</v>
      </c>
      <c r="D28" s="12"/>
      <c r="E28" s="2">
        <v>3100</v>
      </c>
      <c r="F28" s="2">
        <v>13</v>
      </c>
      <c r="G28" s="16">
        <f>$C28*$H$3*'ASTM D638-Probetas'!B$6</f>
        <v>3536</v>
      </c>
      <c r="H28" s="16">
        <f>$C28*$H$3*'ASTM D638-Probetas'!C$6</f>
        <v>1632</v>
      </c>
      <c r="I28" s="16">
        <f>$C28*$H$3*'ASTM D638-Probetas'!D$6</f>
        <v>9044</v>
      </c>
      <c r="J28" s="45">
        <f t="shared" si="0"/>
        <v>6.5</v>
      </c>
      <c r="K28" s="60">
        <f t="shared" si="1"/>
        <v>0.99060000000000004</v>
      </c>
      <c r="L28" s="26">
        <f t="shared" si="8"/>
        <v>9.9060000000000009E-2</v>
      </c>
      <c r="M28" s="65">
        <f t="shared" si="9"/>
        <v>9.9059999999999999E-3</v>
      </c>
      <c r="N28" s="60">
        <f t="shared" si="2"/>
        <v>1.3</v>
      </c>
      <c r="O28" s="26">
        <f t="shared" si="3"/>
        <v>0.13</v>
      </c>
      <c r="P28" s="61">
        <f t="shared" si="10"/>
        <v>1.2999999999999999E-2</v>
      </c>
      <c r="Q28" s="58">
        <f t="shared" si="4"/>
        <v>6.5000000000000002E-2</v>
      </c>
      <c r="R28" s="26">
        <f t="shared" si="11"/>
        <v>56.5</v>
      </c>
      <c r="S28" s="27">
        <f t="shared" si="5"/>
        <v>66.5</v>
      </c>
      <c r="T28" s="25">
        <f t="shared" si="6"/>
        <v>7.266171328671329E-3</v>
      </c>
      <c r="U28" s="28" t="str">
        <f t="shared" si="7"/>
        <v>SI</v>
      </c>
      <c r="V28" s="29">
        <f t="shared" si="12"/>
        <v>8.9455639097744353</v>
      </c>
      <c r="W28" s="20"/>
    </row>
    <row r="29" spans="1:23" x14ac:dyDescent="0.25">
      <c r="A29" s="96"/>
      <c r="B29" s="35" t="s">
        <v>128</v>
      </c>
      <c r="C29" s="2">
        <v>53</v>
      </c>
      <c r="D29" s="12"/>
      <c r="E29" s="2">
        <v>2640</v>
      </c>
      <c r="F29" s="2">
        <v>15</v>
      </c>
      <c r="G29" s="16">
        <f>$C29*$H$3*'ASTM D638-Probetas'!B$6</f>
        <v>2756</v>
      </c>
      <c r="H29" s="16">
        <f>$C29*$H$3*'ASTM D638-Probetas'!C$6</f>
        <v>1272</v>
      </c>
      <c r="I29" s="16">
        <f>$C29*$H$3*'ASTM D638-Probetas'!D$6</f>
        <v>7049</v>
      </c>
      <c r="J29" s="45">
        <f t="shared" si="0"/>
        <v>7.5</v>
      </c>
      <c r="K29" s="60">
        <f t="shared" si="1"/>
        <v>1.143</v>
      </c>
      <c r="L29" s="26">
        <f t="shared" si="8"/>
        <v>0.1143</v>
      </c>
      <c r="M29" s="65">
        <f t="shared" si="9"/>
        <v>1.1430000000000001E-2</v>
      </c>
      <c r="N29" s="60">
        <f t="shared" si="2"/>
        <v>1.5</v>
      </c>
      <c r="O29" s="26">
        <f t="shared" si="3"/>
        <v>0.15</v>
      </c>
      <c r="P29" s="61">
        <f t="shared" si="10"/>
        <v>1.4999999999999999E-2</v>
      </c>
      <c r="Q29" s="58">
        <f t="shared" si="4"/>
        <v>7.4999999999999997E-2</v>
      </c>
      <c r="R29" s="26">
        <f t="shared" si="11"/>
        <v>57.5</v>
      </c>
      <c r="S29" s="27">
        <f t="shared" si="5"/>
        <v>67.5</v>
      </c>
      <c r="T29" s="25">
        <f t="shared" si="6"/>
        <v>7.375437062937063E-3</v>
      </c>
      <c r="U29" s="28" t="str">
        <f t="shared" si="7"/>
        <v>SI</v>
      </c>
      <c r="V29" s="29">
        <f t="shared" si="12"/>
        <v>10.168888888888889</v>
      </c>
      <c r="W29" s="20"/>
    </row>
    <row r="30" spans="1:23" x14ac:dyDescent="0.25">
      <c r="A30" s="96"/>
      <c r="B30" s="35" t="s">
        <v>126</v>
      </c>
      <c r="C30" s="2">
        <v>65</v>
      </c>
      <c r="D30" s="12"/>
      <c r="E30" s="2">
        <v>2790</v>
      </c>
      <c r="F30" s="2">
        <v>5</v>
      </c>
      <c r="G30" s="16">
        <f>$C30*$H$3*'ASTM D638-Probetas'!B$6</f>
        <v>3380</v>
      </c>
      <c r="H30" s="16">
        <f>$C30*$H$3*'ASTM D638-Probetas'!C$6</f>
        <v>1560</v>
      </c>
      <c r="I30" s="16">
        <f>$C30*$H$3*'ASTM D638-Probetas'!D$6</f>
        <v>8645</v>
      </c>
      <c r="J30" s="45">
        <f t="shared" si="0"/>
        <v>2.5</v>
      </c>
      <c r="K30" s="60">
        <f t="shared" si="1"/>
        <v>0.38100000000000001</v>
      </c>
      <c r="L30" s="26">
        <f t="shared" si="8"/>
        <v>3.8100000000000002E-2</v>
      </c>
      <c r="M30" s="65">
        <f t="shared" si="9"/>
        <v>3.81E-3</v>
      </c>
      <c r="N30" s="60">
        <f t="shared" si="2"/>
        <v>0.5</v>
      </c>
      <c r="O30" s="26">
        <f t="shared" si="3"/>
        <v>0.05</v>
      </c>
      <c r="P30" s="61">
        <f t="shared" si="10"/>
        <v>5.0000000000000001E-3</v>
      </c>
      <c r="Q30" s="58">
        <f t="shared" si="4"/>
        <v>2.5000000000000001E-2</v>
      </c>
      <c r="R30" s="26">
        <f t="shared" si="11"/>
        <v>52.5</v>
      </c>
      <c r="S30" s="27">
        <f t="shared" si="5"/>
        <v>62.5</v>
      </c>
      <c r="T30" s="25">
        <f t="shared" si="6"/>
        <v>6.8291083916083919E-3</v>
      </c>
      <c r="U30" s="28" t="str">
        <f t="shared" si="7"/>
        <v>SI</v>
      </c>
      <c r="V30" s="29">
        <f t="shared" si="12"/>
        <v>3.6608000000000001</v>
      </c>
      <c r="W30" s="20"/>
    </row>
    <row r="31" spans="1:23" x14ac:dyDescent="0.25">
      <c r="A31" s="96"/>
      <c r="B31" s="35" t="s">
        <v>130</v>
      </c>
      <c r="C31" s="2">
        <v>32</v>
      </c>
      <c r="D31" s="12" t="s">
        <v>171</v>
      </c>
      <c r="E31" s="2">
        <v>1000</v>
      </c>
      <c r="F31" s="2">
        <v>80</v>
      </c>
      <c r="G31" s="16">
        <f>$C31*$H$3*'ASTM D638-Probetas'!B$6</f>
        <v>1664</v>
      </c>
      <c r="H31" s="16">
        <f>$C31*$H$3*'ASTM D638-Probetas'!C$6</f>
        <v>768</v>
      </c>
      <c r="I31" s="16">
        <f>$C31*$H$3*'ASTM D638-Probetas'!D$6</f>
        <v>4256</v>
      </c>
      <c r="J31" s="45">
        <f t="shared" si="0"/>
        <v>40</v>
      </c>
      <c r="K31" s="60">
        <f t="shared" si="1"/>
        <v>6.0960000000000001</v>
      </c>
      <c r="L31" s="26">
        <f t="shared" si="8"/>
        <v>0.60960000000000003</v>
      </c>
      <c r="M31" s="65">
        <f t="shared" si="9"/>
        <v>6.096E-2</v>
      </c>
      <c r="N31" s="60">
        <f t="shared" si="2"/>
        <v>8</v>
      </c>
      <c r="O31" s="26">
        <f t="shared" si="3"/>
        <v>0.8</v>
      </c>
      <c r="P31" s="61">
        <f t="shared" si="10"/>
        <v>0.08</v>
      </c>
      <c r="Q31" s="58">
        <f t="shared" si="4"/>
        <v>0.4</v>
      </c>
      <c r="R31" s="26">
        <f t="shared" si="11"/>
        <v>90</v>
      </c>
      <c r="S31" s="27">
        <f t="shared" si="5"/>
        <v>100</v>
      </c>
      <c r="T31" s="25">
        <f t="shared" si="6"/>
        <v>1.0926573426573426E-2</v>
      </c>
      <c r="U31" s="28" t="str">
        <f t="shared" si="7"/>
        <v>SI</v>
      </c>
      <c r="V31" s="29">
        <f t="shared" si="12"/>
        <v>36.608000000000004</v>
      </c>
      <c r="W31" s="20"/>
    </row>
    <row r="32" spans="1:23" x14ac:dyDescent="0.25">
      <c r="A32" s="96"/>
      <c r="B32" s="35" t="s">
        <v>125</v>
      </c>
      <c r="C32" s="2">
        <v>72</v>
      </c>
      <c r="D32" s="12" t="s">
        <v>171</v>
      </c>
      <c r="E32" s="2">
        <v>9300</v>
      </c>
      <c r="F32" s="2">
        <v>1.2</v>
      </c>
      <c r="G32" s="16">
        <f>$C32*$H$3*'ASTM D638-Probetas'!B$6</f>
        <v>3744</v>
      </c>
      <c r="H32" s="16">
        <f>$C32*$H$3*'ASTM D638-Probetas'!C$6</f>
        <v>1728</v>
      </c>
      <c r="I32" s="16">
        <f>$C32*$H$3*'ASTM D638-Probetas'!D$6</f>
        <v>9576</v>
      </c>
      <c r="J32" s="45">
        <f t="shared" si="0"/>
        <v>0.6</v>
      </c>
      <c r="K32" s="60">
        <f t="shared" si="1"/>
        <v>9.1440000000000007E-2</v>
      </c>
      <c r="L32" s="26">
        <f t="shared" si="8"/>
        <v>9.1439999999999994E-3</v>
      </c>
      <c r="M32" s="65">
        <f t="shared" si="9"/>
        <v>9.144E-4</v>
      </c>
      <c r="N32" s="67">
        <f t="shared" si="2"/>
        <v>0.12</v>
      </c>
      <c r="O32" s="26">
        <f t="shared" si="3"/>
        <v>1.2E-2</v>
      </c>
      <c r="P32" s="61">
        <f t="shared" si="10"/>
        <v>1.1999999999999999E-3</v>
      </c>
      <c r="Q32" s="58">
        <f t="shared" si="4"/>
        <v>6.0000000000000001E-3</v>
      </c>
      <c r="R32" s="26">
        <f t="shared" si="11"/>
        <v>50.6</v>
      </c>
      <c r="S32" s="27">
        <f t="shared" si="5"/>
        <v>60.6</v>
      </c>
      <c r="T32" s="25">
        <f t="shared" si="6"/>
        <v>6.6215034965034962E-3</v>
      </c>
      <c r="U32" s="28" t="str">
        <f t="shared" si="7"/>
        <v>NO</v>
      </c>
      <c r="V32" s="29">
        <f t="shared" si="12"/>
        <v>0.90613861386138617</v>
      </c>
      <c r="W32" s="20"/>
    </row>
    <row r="33" spans="1:23" x14ac:dyDescent="0.25">
      <c r="A33" s="96"/>
      <c r="B33" s="35" t="s">
        <v>123</v>
      </c>
      <c r="C33" s="2">
        <v>41</v>
      </c>
      <c r="D33" s="12"/>
      <c r="E33" s="2">
        <v>2040</v>
      </c>
      <c r="F33" s="2">
        <v>5.9</v>
      </c>
      <c r="G33" s="16">
        <f>$C33*$H$3*'ASTM D638-Probetas'!B$6</f>
        <v>2132</v>
      </c>
      <c r="H33" s="16">
        <f>$C33*$H$3*'ASTM D638-Probetas'!C$6</f>
        <v>984</v>
      </c>
      <c r="I33" s="16">
        <f>$C33*$H$3*'ASTM D638-Probetas'!D$6</f>
        <v>5453</v>
      </c>
      <c r="J33" s="45">
        <f t="shared" si="0"/>
        <v>2.95</v>
      </c>
      <c r="K33" s="60">
        <f t="shared" si="1"/>
        <v>0.44958000000000004</v>
      </c>
      <c r="L33" s="26">
        <f t="shared" si="8"/>
        <v>4.4958000000000005E-2</v>
      </c>
      <c r="M33" s="65">
        <f t="shared" si="9"/>
        <v>4.4958000000000003E-3</v>
      </c>
      <c r="N33" s="60">
        <f t="shared" si="2"/>
        <v>0.59000000000000008</v>
      </c>
      <c r="O33" s="26">
        <f t="shared" si="3"/>
        <v>5.9000000000000004E-2</v>
      </c>
      <c r="P33" s="61">
        <f t="shared" si="10"/>
        <v>5.9000000000000007E-3</v>
      </c>
      <c r="Q33" s="58">
        <f t="shared" si="4"/>
        <v>2.9500000000000002E-2</v>
      </c>
      <c r="R33" s="26">
        <f t="shared" si="11"/>
        <v>52.95</v>
      </c>
      <c r="S33" s="27">
        <f t="shared" si="5"/>
        <v>62.95</v>
      </c>
      <c r="T33" s="25">
        <f t="shared" si="6"/>
        <v>6.8782779720279724E-3</v>
      </c>
      <c r="U33" s="28" t="str">
        <f t="shared" si="7"/>
        <v>SI</v>
      </c>
      <c r="V33" s="29">
        <f t="shared" si="12"/>
        <v>4.2888641779189838</v>
      </c>
      <c r="W33" s="20"/>
    </row>
    <row r="34" spans="1:23" x14ac:dyDescent="0.25">
      <c r="A34" s="96"/>
      <c r="B34" s="35" t="s">
        <v>124</v>
      </c>
      <c r="C34" s="2">
        <v>43</v>
      </c>
      <c r="D34" s="12"/>
      <c r="E34" s="2">
        <v>1586</v>
      </c>
      <c r="F34" s="2">
        <v>14</v>
      </c>
      <c r="G34" s="16">
        <f>$C34*$H$3*'ASTM D638-Probetas'!B$6</f>
        <v>2236</v>
      </c>
      <c r="H34" s="16">
        <f>$C34*$H$3*'ASTM D638-Probetas'!C$6</f>
        <v>1032</v>
      </c>
      <c r="I34" s="16">
        <f>$C34*$H$3*'ASTM D638-Probetas'!D$6</f>
        <v>5719</v>
      </c>
      <c r="J34" s="45">
        <f t="shared" si="0"/>
        <v>7.0000000000000009</v>
      </c>
      <c r="K34" s="60">
        <f t="shared" si="1"/>
        <v>1.0668000000000002</v>
      </c>
      <c r="L34" s="26">
        <f t="shared" si="8"/>
        <v>0.10668000000000001</v>
      </c>
      <c r="M34" s="65">
        <f t="shared" si="9"/>
        <v>1.0668000000000002E-2</v>
      </c>
      <c r="N34" s="60">
        <f t="shared" si="2"/>
        <v>1.4000000000000001</v>
      </c>
      <c r="O34" s="26">
        <f t="shared" si="3"/>
        <v>0.14000000000000001</v>
      </c>
      <c r="P34" s="61">
        <f t="shared" si="10"/>
        <v>1.4000000000000002E-2</v>
      </c>
      <c r="Q34" s="58">
        <f t="shared" si="4"/>
        <v>7.0000000000000007E-2</v>
      </c>
      <c r="R34" s="26">
        <f t="shared" si="11"/>
        <v>57</v>
      </c>
      <c r="S34" s="27">
        <f t="shared" si="5"/>
        <v>67</v>
      </c>
      <c r="T34" s="25">
        <f t="shared" si="6"/>
        <v>7.320804195804196E-3</v>
      </c>
      <c r="U34" s="28" t="str">
        <f t="shared" si="7"/>
        <v>SI</v>
      </c>
      <c r="V34" s="29">
        <f t="shared" si="12"/>
        <v>9.5617910447761201</v>
      </c>
      <c r="W34" s="20"/>
    </row>
    <row r="35" spans="1:23" x14ac:dyDescent="0.25">
      <c r="A35" s="97"/>
      <c r="B35" s="35" t="s">
        <v>58</v>
      </c>
      <c r="C35" s="2">
        <v>27</v>
      </c>
      <c r="D35" s="12"/>
      <c r="E35" s="2">
        <v>4068</v>
      </c>
      <c r="F35" s="2">
        <v>1.4</v>
      </c>
      <c r="G35" s="16">
        <f>$C35*$H$3*'ASTM D638-Probetas'!B$6</f>
        <v>1404</v>
      </c>
      <c r="H35" s="16">
        <f>$C35*$H$3*'ASTM D638-Probetas'!C$6</f>
        <v>648</v>
      </c>
      <c r="I35" s="16">
        <f>$C35*$H$3*'ASTM D638-Probetas'!D$6</f>
        <v>3591</v>
      </c>
      <c r="J35" s="45">
        <f t="shared" si="0"/>
        <v>0.7</v>
      </c>
      <c r="K35" s="60">
        <f t="shared" si="1"/>
        <v>0.10668</v>
      </c>
      <c r="L35" s="26">
        <f t="shared" si="8"/>
        <v>1.0667999999999999E-2</v>
      </c>
      <c r="M35" s="65">
        <f t="shared" si="9"/>
        <v>1.0667999999999999E-3</v>
      </c>
      <c r="N35" s="67">
        <f t="shared" si="2"/>
        <v>0.13999999999999999</v>
      </c>
      <c r="O35" s="26">
        <f t="shared" si="3"/>
        <v>1.3999999999999999E-2</v>
      </c>
      <c r="P35" s="61">
        <f t="shared" si="10"/>
        <v>1.4E-3</v>
      </c>
      <c r="Q35" s="59">
        <f t="shared" si="4"/>
        <v>6.9999999999999993E-3</v>
      </c>
      <c r="R35" s="26">
        <f t="shared" si="11"/>
        <v>50.7</v>
      </c>
      <c r="S35" s="27">
        <f t="shared" si="5"/>
        <v>60.7</v>
      </c>
      <c r="T35" s="25">
        <f t="shared" si="6"/>
        <v>6.6324300699300703E-3</v>
      </c>
      <c r="U35" s="28" t="str">
        <f t="shared" si="7"/>
        <v>SI</v>
      </c>
      <c r="V35" s="29">
        <f t="shared" si="12"/>
        <v>1.0554200988467872</v>
      </c>
      <c r="W35" s="20"/>
    </row>
    <row r="36" spans="1:23" x14ac:dyDescent="0.25">
      <c r="A36" s="91" t="s">
        <v>59</v>
      </c>
      <c r="B36" s="35" t="s">
        <v>118</v>
      </c>
      <c r="C36" s="2">
        <v>32</v>
      </c>
      <c r="D36" s="12" t="s">
        <v>170</v>
      </c>
      <c r="E36" s="2">
        <v>1138</v>
      </c>
      <c r="F36" s="2">
        <v>30</v>
      </c>
      <c r="G36" s="16">
        <f>$C36*$H$3*'ASTM D638-Probetas'!B$6</f>
        <v>1664</v>
      </c>
      <c r="H36" s="16">
        <f>$C36*$H$3*'ASTM D638-Probetas'!C$6</f>
        <v>768</v>
      </c>
      <c r="I36" s="16">
        <f>$C36*$H$3*'ASTM D638-Probetas'!D$6</f>
        <v>4256</v>
      </c>
      <c r="J36" s="45">
        <f t="shared" si="0"/>
        <v>15</v>
      </c>
      <c r="K36" s="60">
        <f t="shared" si="1"/>
        <v>2.286</v>
      </c>
      <c r="L36" s="26">
        <f t="shared" si="8"/>
        <v>0.2286</v>
      </c>
      <c r="M36" s="65">
        <f t="shared" si="9"/>
        <v>2.2860000000000002E-2</v>
      </c>
      <c r="N36" s="60">
        <f t="shared" si="2"/>
        <v>3</v>
      </c>
      <c r="O36" s="26">
        <f t="shared" si="3"/>
        <v>0.3</v>
      </c>
      <c r="P36" s="61">
        <f t="shared" si="10"/>
        <v>0.03</v>
      </c>
      <c r="Q36" s="59">
        <f t="shared" si="4"/>
        <v>0.15</v>
      </c>
      <c r="R36" s="26">
        <f t="shared" si="11"/>
        <v>65</v>
      </c>
      <c r="S36" s="27">
        <f t="shared" si="5"/>
        <v>75</v>
      </c>
      <c r="T36" s="25">
        <f t="shared" si="6"/>
        <v>8.19493006993007E-3</v>
      </c>
      <c r="U36" s="28" t="str">
        <f t="shared" si="7"/>
        <v>SI</v>
      </c>
      <c r="V36" s="29">
        <f t="shared" si="12"/>
        <v>18.303999999999998</v>
      </c>
      <c r="W36" s="20"/>
    </row>
    <row r="37" spans="1:23" x14ac:dyDescent="0.25">
      <c r="A37" s="91"/>
      <c r="B37" s="35" t="s">
        <v>60</v>
      </c>
      <c r="C37" s="2">
        <v>75.599999999999994</v>
      </c>
      <c r="D37" s="12" t="s">
        <v>170</v>
      </c>
      <c r="E37" s="2">
        <v>7515</v>
      </c>
      <c r="F37" s="2">
        <v>1.9</v>
      </c>
      <c r="G37" s="16">
        <f>$C37*$H$3*'ASTM D638-Probetas'!B$6</f>
        <v>3931.2</v>
      </c>
      <c r="H37" s="16">
        <f>$C37*$H$3*'ASTM D638-Probetas'!C$6</f>
        <v>1814.3999999999999</v>
      </c>
      <c r="I37" s="16">
        <f>$C37*$H$3*'ASTM D638-Probetas'!D$6</f>
        <v>10054.799999999999</v>
      </c>
      <c r="J37" s="45">
        <f t="shared" si="0"/>
        <v>0.95</v>
      </c>
      <c r="K37" s="60">
        <f t="shared" si="1"/>
        <v>0.14477999999999999</v>
      </c>
      <c r="L37" s="26">
        <f t="shared" si="8"/>
        <v>1.4478E-2</v>
      </c>
      <c r="M37" s="65">
        <f t="shared" si="9"/>
        <v>1.4478E-3</v>
      </c>
      <c r="N37" s="67">
        <f t="shared" si="2"/>
        <v>0.19</v>
      </c>
      <c r="O37" s="26">
        <f t="shared" si="3"/>
        <v>1.9E-2</v>
      </c>
      <c r="P37" s="61">
        <f t="shared" si="10"/>
        <v>1.9E-3</v>
      </c>
      <c r="Q37" s="59">
        <f t="shared" si="4"/>
        <v>9.4999999999999998E-3</v>
      </c>
      <c r="R37" s="26">
        <f t="shared" si="11"/>
        <v>50.95</v>
      </c>
      <c r="S37" s="27">
        <f t="shared" si="5"/>
        <v>60.95</v>
      </c>
      <c r="T37" s="25">
        <f t="shared" si="6"/>
        <v>6.6597465034965034E-3</v>
      </c>
      <c r="U37" s="28" t="str">
        <f t="shared" si="7"/>
        <v>SI</v>
      </c>
      <c r="V37" s="29">
        <f t="shared" si="12"/>
        <v>1.4264807219031994</v>
      </c>
      <c r="W37" s="20"/>
    </row>
    <row r="38" spans="1:23" x14ac:dyDescent="0.25">
      <c r="A38" s="91"/>
      <c r="B38" s="35" t="s">
        <v>60</v>
      </c>
      <c r="C38" s="2">
        <v>83.5</v>
      </c>
      <c r="D38" s="12" t="s">
        <v>170</v>
      </c>
      <c r="E38" s="2">
        <v>9460</v>
      </c>
      <c r="F38" s="2">
        <v>2.4</v>
      </c>
      <c r="G38" s="16">
        <f>$C38*$H$3*'ASTM D638-Probetas'!B$6</f>
        <v>4342</v>
      </c>
      <c r="H38" s="16">
        <f>$C38*$H$3*'ASTM D638-Probetas'!C$6</f>
        <v>2004</v>
      </c>
      <c r="I38" s="16">
        <f>$C38*$H$3*'ASTM D638-Probetas'!D$6</f>
        <v>11105.5</v>
      </c>
      <c r="J38" s="45">
        <f t="shared" si="0"/>
        <v>1.2</v>
      </c>
      <c r="K38" s="60">
        <f t="shared" si="1"/>
        <v>0.18288000000000001</v>
      </c>
      <c r="L38" s="26">
        <f t="shared" si="8"/>
        <v>1.8287999999999999E-2</v>
      </c>
      <c r="M38" s="65">
        <f t="shared" si="9"/>
        <v>1.8288E-3</v>
      </c>
      <c r="N38" s="67">
        <f t="shared" si="2"/>
        <v>0.24</v>
      </c>
      <c r="O38" s="26">
        <f t="shared" si="3"/>
        <v>2.4E-2</v>
      </c>
      <c r="P38" s="61">
        <f t="shared" si="10"/>
        <v>2.3999999999999998E-3</v>
      </c>
      <c r="Q38" s="58">
        <f t="shared" si="4"/>
        <v>1.2E-2</v>
      </c>
      <c r="R38" s="26">
        <f t="shared" si="11"/>
        <v>51.2</v>
      </c>
      <c r="S38" s="27">
        <f t="shared" si="5"/>
        <v>61.2</v>
      </c>
      <c r="T38" s="25">
        <f t="shared" si="6"/>
        <v>6.6870629370629374E-3</v>
      </c>
      <c r="U38" s="28" t="str">
        <f t="shared" si="7"/>
        <v>SI</v>
      </c>
      <c r="V38" s="29">
        <f t="shared" si="12"/>
        <v>1.7945098039215686</v>
      </c>
      <c r="W38" s="20"/>
    </row>
    <row r="39" spans="1:23" x14ac:dyDescent="0.25">
      <c r="A39" s="91"/>
      <c r="B39" s="35" t="s">
        <v>55</v>
      </c>
      <c r="C39" s="2">
        <v>57</v>
      </c>
      <c r="D39" s="12" t="s">
        <v>170</v>
      </c>
      <c r="E39" s="2">
        <v>1944</v>
      </c>
      <c r="F39" s="2">
        <v>4.8</v>
      </c>
      <c r="G39" s="16">
        <f>$C39*$H$3*'ASTM D638-Probetas'!B$6</f>
        <v>2964</v>
      </c>
      <c r="H39" s="16">
        <f>$C39*$H$3*'ASTM D638-Probetas'!C$6</f>
        <v>1368</v>
      </c>
      <c r="I39" s="16">
        <f>$C39*$H$3*'ASTM D638-Probetas'!D$6</f>
        <v>7581</v>
      </c>
      <c r="J39" s="45">
        <f t="shared" si="0"/>
        <v>2.4</v>
      </c>
      <c r="K39" s="60">
        <f t="shared" si="1"/>
        <v>0.36576000000000003</v>
      </c>
      <c r="L39" s="26">
        <f t="shared" si="8"/>
        <v>3.6575999999999997E-2</v>
      </c>
      <c r="M39" s="65">
        <f t="shared" si="9"/>
        <v>3.6576E-3</v>
      </c>
      <c r="N39" s="60">
        <f t="shared" si="2"/>
        <v>0.48</v>
      </c>
      <c r="O39" s="26">
        <f t="shared" si="3"/>
        <v>4.8000000000000001E-2</v>
      </c>
      <c r="P39" s="61">
        <f t="shared" si="10"/>
        <v>4.7999999999999996E-3</v>
      </c>
      <c r="Q39" s="58">
        <f t="shared" si="4"/>
        <v>2.4E-2</v>
      </c>
      <c r="R39" s="26">
        <f t="shared" si="11"/>
        <v>52.4</v>
      </c>
      <c r="S39" s="27">
        <f t="shared" si="5"/>
        <v>62.4</v>
      </c>
      <c r="T39" s="25">
        <f t="shared" si="6"/>
        <v>6.8181818181818179E-3</v>
      </c>
      <c r="U39" s="28" t="str">
        <f t="shared" si="7"/>
        <v>SI</v>
      </c>
      <c r="V39" s="29">
        <f t="shared" si="12"/>
        <v>3.5200000000000005</v>
      </c>
      <c r="W39" s="20"/>
    </row>
    <row r="40" spans="1:23" x14ac:dyDescent="0.25">
      <c r="A40" s="92"/>
      <c r="B40" s="35" t="s">
        <v>61</v>
      </c>
      <c r="C40" s="2">
        <v>70</v>
      </c>
      <c r="D40" s="12" t="s">
        <v>170</v>
      </c>
      <c r="E40" s="2">
        <v>2510</v>
      </c>
      <c r="F40" s="2">
        <v>5.4</v>
      </c>
      <c r="G40" s="16">
        <f>$C40*$H$3*'ASTM D638-Probetas'!B$6</f>
        <v>3640</v>
      </c>
      <c r="H40" s="16">
        <f>$C40*$H$3*'ASTM D638-Probetas'!C$6</f>
        <v>1680</v>
      </c>
      <c r="I40" s="16">
        <f>$C40*$H$3*'ASTM D638-Probetas'!D$6</f>
        <v>9310</v>
      </c>
      <c r="J40" s="45">
        <f t="shared" ref="J40:J71" si="13">F40/100*50</f>
        <v>2.7</v>
      </c>
      <c r="K40" s="60">
        <f t="shared" ref="K40:K71" si="14">J40/1/50*7.62</f>
        <v>0.41148000000000007</v>
      </c>
      <c r="L40" s="26">
        <f t="shared" si="8"/>
        <v>4.1148000000000004E-2</v>
      </c>
      <c r="M40" s="65">
        <f t="shared" si="9"/>
        <v>4.1148000000000009E-3</v>
      </c>
      <c r="N40" s="60">
        <f t="shared" ref="N40:N71" si="15">J40/5</f>
        <v>0.54</v>
      </c>
      <c r="O40" s="26">
        <f t="shared" ref="O40:O71" si="16">J40/50</f>
        <v>5.4000000000000006E-2</v>
      </c>
      <c r="P40" s="61">
        <f t="shared" si="10"/>
        <v>5.4000000000000003E-3</v>
      </c>
      <c r="Q40" s="58">
        <f t="shared" ref="Q40:Q71" si="17">F40*50/100/100</f>
        <v>2.7000000000000003E-2</v>
      </c>
      <c r="R40" s="26">
        <f t="shared" si="11"/>
        <v>52.7</v>
      </c>
      <c r="S40" s="27">
        <f t="shared" ref="S40:S71" si="18">R40+$S$4</f>
        <v>62.7</v>
      </c>
      <c r="T40" s="25">
        <f t="shared" ref="T40:T71" si="19">S40/$T$7</f>
        <v>6.8509615384615384E-3</v>
      </c>
      <c r="U40" s="28" t="str">
        <f t="shared" si="7"/>
        <v>SI</v>
      </c>
      <c r="V40" s="29">
        <f t="shared" si="12"/>
        <v>3.9410526315789478</v>
      </c>
      <c r="W40" s="20"/>
    </row>
    <row r="41" spans="1:23" x14ac:dyDescent="0.25">
      <c r="A41" s="91" t="s">
        <v>62</v>
      </c>
      <c r="B41" s="35" t="s">
        <v>63</v>
      </c>
      <c r="C41" s="3">
        <v>95</v>
      </c>
      <c r="D41" s="14"/>
      <c r="E41" s="3">
        <v>4000</v>
      </c>
      <c r="F41" s="3"/>
      <c r="G41" s="16">
        <f>$C41*$H$3*'ASTM D638-Probetas'!B$6</f>
        <v>4940</v>
      </c>
      <c r="H41" s="16">
        <f>$C41*$H$3*'ASTM D638-Probetas'!C$6</f>
        <v>2280</v>
      </c>
      <c r="I41" s="16">
        <f>$C41*$H$3*'ASTM D638-Probetas'!D$6</f>
        <v>12635</v>
      </c>
      <c r="J41" s="45">
        <f t="shared" si="13"/>
        <v>0</v>
      </c>
      <c r="K41" s="60">
        <f t="shared" si="14"/>
        <v>0</v>
      </c>
      <c r="L41" s="26">
        <f t="shared" si="8"/>
        <v>0</v>
      </c>
      <c r="M41" s="65">
        <f t="shared" si="9"/>
        <v>0</v>
      </c>
      <c r="N41" s="60">
        <f t="shared" si="15"/>
        <v>0</v>
      </c>
      <c r="O41" s="26">
        <f t="shared" si="16"/>
        <v>0</v>
      </c>
      <c r="P41" s="61">
        <f t="shared" si="10"/>
        <v>0</v>
      </c>
      <c r="Q41" s="58">
        <f t="shared" si="17"/>
        <v>0</v>
      </c>
      <c r="R41" s="26">
        <f t="shared" si="11"/>
        <v>50</v>
      </c>
      <c r="S41" s="27">
        <f t="shared" si="18"/>
        <v>60</v>
      </c>
      <c r="T41" s="25">
        <f t="shared" si="19"/>
        <v>6.555944055944056E-3</v>
      </c>
      <c r="U41" s="28" t="str">
        <f t="shared" si="7"/>
        <v>SI</v>
      </c>
      <c r="V41" s="29">
        <f t="shared" si="12"/>
        <v>0</v>
      </c>
      <c r="W41" s="20"/>
    </row>
    <row r="42" spans="1:23" x14ac:dyDescent="0.25">
      <c r="A42" s="91"/>
      <c r="B42" s="35" t="s">
        <v>64</v>
      </c>
      <c r="C42" s="3">
        <v>100</v>
      </c>
      <c r="D42" s="14"/>
      <c r="E42" s="3">
        <v>6000</v>
      </c>
      <c r="F42" s="3"/>
      <c r="G42" s="16">
        <f>$C42*$H$3*'ASTM D638-Probetas'!B$6</f>
        <v>5200</v>
      </c>
      <c r="H42" s="16">
        <f>$C42*$H$3*'ASTM D638-Probetas'!C$6</f>
        <v>2400</v>
      </c>
      <c r="I42" s="16">
        <f>$C42*$H$3*'ASTM D638-Probetas'!D$6</f>
        <v>13300</v>
      </c>
      <c r="J42" s="45">
        <f t="shared" si="13"/>
        <v>0</v>
      </c>
      <c r="K42" s="60">
        <f t="shared" si="14"/>
        <v>0</v>
      </c>
      <c r="L42" s="26">
        <f t="shared" si="8"/>
        <v>0</v>
      </c>
      <c r="M42" s="65">
        <f t="shared" si="9"/>
        <v>0</v>
      </c>
      <c r="N42" s="60">
        <f t="shared" si="15"/>
        <v>0</v>
      </c>
      <c r="O42" s="26">
        <f t="shared" si="16"/>
        <v>0</v>
      </c>
      <c r="P42" s="61">
        <f t="shared" si="10"/>
        <v>0</v>
      </c>
      <c r="Q42" s="58">
        <f t="shared" si="17"/>
        <v>0</v>
      </c>
      <c r="R42" s="26">
        <f t="shared" si="11"/>
        <v>50</v>
      </c>
      <c r="S42" s="27">
        <f t="shared" si="18"/>
        <v>60</v>
      </c>
      <c r="T42" s="25">
        <f t="shared" si="19"/>
        <v>6.555944055944056E-3</v>
      </c>
      <c r="U42" s="28" t="str">
        <f t="shared" si="7"/>
        <v>SI</v>
      </c>
      <c r="V42" s="29">
        <f t="shared" si="12"/>
        <v>0</v>
      </c>
      <c r="W42" s="20"/>
    </row>
    <row r="43" spans="1:23" x14ac:dyDescent="0.25">
      <c r="A43" s="91"/>
      <c r="B43" s="35" t="s">
        <v>65</v>
      </c>
      <c r="C43" s="2">
        <v>36.26</v>
      </c>
      <c r="D43" s="12" t="s">
        <v>171</v>
      </c>
      <c r="E43" s="2"/>
      <c r="F43" s="2">
        <v>34</v>
      </c>
      <c r="G43" s="16">
        <f>$C43*$H$3*'ASTM D638-Probetas'!B$6</f>
        <v>1885.52</v>
      </c>
      <c r="H43" s="16">
        <f>$C43*$H$3*'ASTM D638-Probetas'!C$6</f>
        <v>870.24</v>
      </c>
      <c r="I43" s="16">
        <f>$C43*$H$3*'ASTM D638-Probetas'!D$6</f>
        <v>4822.58</v>
      </c>
      <c r="J43" s="45">
        <f t="shared" si="13"/>
        <v>17</v>
      </c>
      <c r="K43" s="60">
        <f t="shared" si="14"/>
        <v>2.5908000000000002</v>
      </c>
      <c r="L43" s="26">
        <f t="shared" si="8"/>
        <v>0.25908000000000003</v>
      </c>
      <c r="M43" s="65">
        <f t="shared" si="9"/>
        <v>2.5908000000000004E-2</v>
      </c>
      <c r="N43" s="60">
        <f t="shared" si="15"/>
        <v>3.4</v>
      </c>
      <c r="O43" s="26">
        <f t="shared" si="16"/>
        <v>0.34</v>
      </c>
      <c r="P43" s="61">
        <f t="shared" si="10"/>
        <v>3.4000000000000002E-2</v>
      </c>
      <c r="Q43" s="58">
        <f t="shared" si="17"/>
        <v>0.17</v>
      </c>
      <c r="R43" s="26">
        <f t="shared" si="11"/>
        <v>67</v>
      </c>
      <c r="S43" s="27">
        <f t="shared" si="18"/>
        <v>77</v>
      </c>
      <c r="T43" s="25">
        <f t="shared" si="19"/>
        <v>8.4134615384615381E-3</v>
      </c>
      <c r="U43" s="28" t="str">
        <f t="shared" si="7"/>
        <v>SI</v>
      </c>
      <c r="V43" s="29">
        <f t="shared" si="12"/>
        <v>20.205714285714286</v>
      </c>
      <c r="W43" s="20"/>
    </row>
    <row r="44" spans="1:23" x14ac:dyDescent="0.25">
      <c r="A44" s="91"/>
      <c r="B44" s="35" t="s">
        <v>66</v>
      </c>
      <c r="C44" s="2">
        <v>74.459999999999994</v>
      </c>
      <c r="D44" s="12" t="s">
        <v>171</v>
      </c>
      <c r="E44" s="2"/>
      <c r="F44" s="2">
        <v>5</v>
      </c>
      <c r="G44" s="16">
        <f>$C44*$H$3*'ASTM D638-Probetas'!B$6</f>
        <v>3871.9199999999996</v>
      </c>
      <c r="H44" s="16">
        <f>$C44*$H$3*'ASTM D638-Probetas'!C$6</f>
        <v>1787.04</v>
      </c>
      <c r="I44" s="16">
        <f>$C44*$H$3*'ASTM D638-Probetas'!D$6</f>
        <v>9903.1799999999985</v>
      </c>
      <c r="J44" s="45">
        <f t="shared" si="13"/>
        <v>2.5</v>
      </c>
      <c r="K44" s="60">
        <f t="shared" si="14"/>
        <v>0.38100000000000001</v>
      </c>
      <c r="L44" s="26">
        <f t="shared" si="8"/>
        <v>3.8100000000000002E-2</v>
      </c>
      <c r="M44" s="65">
        <f t="shared" si="9"/>
        <v>3.81E-3</v>
      </c>
      <c r="N44" s="60">
        <f t="shared" si="15"/>
        <v>0.5</v>
      </c>
      <c r="O44" s="26">
        <f t="shared" si="16"/>
        <v>0.05</v>
      </c>
      <c r="P44" s="61">
        <f t="shared" si="10"/>
        <v>5.0000000000000001E-3</v>
      </c>
      <c r="Q44" s="58">
        <f t="shared" si="17"/>
        <v>2.5000000000000001E-2</v>
      </c>
      <c r="R44" s="26">
        <f t="shared" si="11"/>
        <v>52.5</v>
      </c>
      <c r="S44" s="27">
        <f t="shared" si="18"/>
        <v>62.5</v>
      </c>
      <c r="T44" s="25">
        <f t="shared" si="19"/>
        <v>6.8291083916083919E-3</v>
      </c>
      <c r="U44" s="28" t="str">
        <f t="shared" si="7"/>
        <v>SI</v>
      </c>
      <c r="V44" s="29">
        <f t="shared" si="12"/>
        <v>3.6608000000000001</v>
      </c>
      <c r="W44" s="20"/>
    </row>
    <row r="45" spans="1:23" x14ac:dyDescent="0.25">
      <c r="A45" s="91"/>
      <c r="B45" s="35" t="s">
        <v>67</v>
      </c>
      <c r="C45" s="2">
        <v>55.22</v>
      </c>
      <c r="D45" s="12" t="s">
        <v>171</v>
      </c>
      <c r="E45" s="2"/>
      <c r="F45" s="2">
        <v>10</v>
      </c>
      <c r="G45" s="16">
        <f>$C45*$H$3*'ASTM D638-Probetas'!B$6</f>
        <v>2871.44</v>
      </c>
      <c r="H45" s="16">
        <f>$C45*$H$3*'ASTM D638-Probetas'!C$6</f>
        <v>1325.28</v>
      </c>
      <c r="I45" s="16">
        <f>$C45*$H$3*'ASTM D638-Probetas'!D$6</f>
        <v>7344.26</v>
      </c>
      <c r="J45" s="45">
        <f t="shared" si="13"/>
        <v>5</v>
      </c>
      <c r="K45" s="60">
        <f t="shared" si="14"/>
        <v>0.76200000000000001</v>
      </c>
      <c r="L45" s="26">
        <f t="shared" si="8"/>
        <v>7.6200000000000004E-2</v>
      </c>
      <c r="M45" s="65">
        <f t="shared" si="9"/>
        <v>7.62E-3</v>
      </c>
      <c r="N45" s="60">
        <f t="shared" si="15"/>
        <v>1</v>
      </c>
      <c r="O45" s="26">
        <f t="shared" si="16"/>
        <v>0.1</v>
      </c>
      <c r="P45" s="61">
        <f t="shared" si="10"/>
        <v>0.01</v>
      </c>
      <c r="Q45" s="58">
        <f t="shared" si="17"/>
        <v>0.05</v>
      </c>
      <c r="R45" s="26">
        <f t="shared" si="11"/>
        <v>55</v>
      </c>
      <c r="S45" s="27">
        <f t="shared" si="18"/>
        <v>65</v>
      </c>
      <c r="T45" s="25">
        <f t="shared" si="19"/>
        <v>7.102272727272727E-3</v>
      </c>
      <c r="U45" s="28" t="str">
        <f t="shared" si="7"/>
        <v>SI</v>
      </c>
      <c r="V45" s="29">
        <f t="shared" si="12"/>
        <v>7.0400000000000009</v>
      </c>
      <c r="W45" s="20"/>
    </row>
    <row r="46" spans="1:23" x14ac:dyDescent="0.25">
      <c r="A46" s="91"/>
      <c r="B46" s="35" t="s">
        <v>131</v>
      </c>
      <c r="C46" s="2">
        <v>55</v>
      </c>
      <c r="D46" s="12" t="s">
        <v>171</v>
      </c>
      <c r="E46" s="2">
        <v>4157</v>
      </c>
      <c r="F46" s="2">
        <v>10</v>
      </c>
      <c r="G46" s="16">
        <f>$C46*$H$3*'ASTM D638-Probetas'!B$6</f>
        <v>2860</v>
      </c>
      <c r="H46" s="16">
        <f>$C46*$H$3*'ASTM D638-Probetas'!C$6</f>
        <v>1320</v>
      </c>
      <c r="I46" s="16">
        <f>$C46*$H$3*'ASTM D638-Probetas'!D$6</f>
        <v>7315</v>
      </c>
      <c r="J46" s="45">
        <f t="shared" si="13"/>
        <v>5</v>
      </c>
      <c r="K46" s="60">
        <f t="shared" si="14"/>
        <v>0.76200000000000001</v>
      </c>
      <c r="L46" s="26">
        <f t="shared" si="8"/>
        <v>7.6200000000000004E-2</v>
      </c>
      <c r="M46" s="65">
        <f t="shared" si="9"/>
        <v>7.62E-3</v>
      </c>
      <c r="N46" s="60">
        <f t="shared" si="15"/>
        <v>1</v>
      </c>
      <c r="O46" s="26">
        <f t="shared" si="16"/>
        <v>0.1</v>
      </c>
      <c r="P46" s="61">
        <f t="shared" si="10"/>
        <v>0.01</v>
      </c>
      <c r="Q46" s="58">
        <f t="shared" si="17"/>
        <v>0.05</v>
      </c>
      <c r="R46" s="26">
        <f t="shared" si="11"/>
        <v>55</v>
      </c>
      <c r="S46" s="27">
        <f t="shared" si="18"/>
        <v>65</v>
      </c>
      <c r="T46" s="25">
        <f t="shared" si="19"/>
        <v>7.102272727272727E-3</v>
      </c>
      <c r="U46" s="28" t="str">
        <f t="shared" si="7"/>
        <v>SI</v>
      </c>
      <c r="V46" s="29">
        <f t="shared" si="12"/>
        <v>7.0400000000000009</v>
      </c>
      <c r="W46" s="20"/>
    </row>
    <row r="47" spans="1:23" x14ac:dyDescent="0.25">
      <c r="A47" s="91"/>
      <c r="B47" s="35" t="s">
        <v>50</v>
      </c>
      <c r="C47" s="1">
        <v>27</v>
      </c>
      <c r="D47" s="15"/>
      <c r="E47" s="1">
        <v>39</v>
      </c>
      <c r="F47" s="1">
        <v>55</v>
      </c>
      <c r="G47" s="16">
        <f>$C47*$H$3*'ASTM D638-Probetas'!B$6</f>
        <v>1404</v>
      </c>
      <c r="H47" s="16">
        <f>$C47*$H$3*'ASTM D638-Probetas'!C$6</f>
        <v>648</v>
      </c>
      <c r="I47" s="16">
        <f>$C47*$H$3*'ASTM D638-Probetas'!D$6</f>
        <v>3591</v>
      </c>
      <c r="J47" s="45">
        <f t="shared" si="13"/>
        <v>27.500000000000004</v>
      </c>
      <c r="K47" s="60">
        <f t="shared" si="14"/>
        <v>4.1910000000000007</v>
      </c>
      <c r="L47" s="26">
        <f t="shared" si="8"/>
        <v>0.41910000000000008</v>
      </c>
      <c r="M47" s="65">
        <f t="shared" si="9"/>
        <v>4.1910000000000003E-2</v>
      </c>
      <c r="N47" s="60">
        <f t="shared" si="15"/>
        <v>5.5000000000000009</v>
      </c>
      <c r="O47" s="26">
        <f t="shared" si="16"/>
        <v>0.55000000000000004</v>
      </c>
      <c r="P47" s="61">
        <f t="shared" si="10"/>
        <v>5.5000000000000007E-2</v>
      </c>
      <c r="Q47" s="58">
        <f t="shared" si="17"/>
        <v>0.27500000000000002</v>
      </c>
      <c r="R47" s="26">
        <f t="shared" si="11"/>
        <v>77.5</v>
      </c>
      <c r="S47" s="27">
        <f t="shared" si="18"/>
        <v>87.5</v>
      </c>
      <c r="T47" s="25">
        <f t="shared" si="19"/>
        <v>9.560751748251748E-3</v>
      </c>
      <c r="U47" s="28" t="str">
        <f t="shared" si="7"/>
        <v>SI</v>
      </c>
      <c r="V47" s="29">
        <f t="shared" si="12"/>
        <v>28.763428571428573</v>
      </c>
      <c r="W47" s="20"/>
    </row>
    <row r="48" spans="1:23" x14ac:dyDescent="0.25">
      <c r="A48" s="92"/>
      <c r="B48" s="35" t="s">
        <v>68</v>
      </c>
      <c r="C48" s="2">
        <v>39.979999999999997</v>
      </c>
      <c r="D48" s="12"/>
      <c r="E48" s="2"/>
      <c r="F48" s="2">
        <v>2.6</v>
      </c>
      <c r="G48" s="16">
        <f>$C48*$H$3*'ASTM D638-Probetas'!B$6</f>
        <v>2078.96</v>
      </c>
      <c r="H48" s="16">
        <f>$C48*$H$3*'ASTM D638-Probetas'!C$6</f>
        <v>959.52</v>
      </c>
      <c r="I48" s="16">
        <f>$C48*$H$3*'ASTM D638-Probetas'!D$6</f>
        <v>5317.3399999999992</v>
      </c>
      <c r="J48" s="45">
        <f t="shared" si="13"/>
        <v>1.3</v>
      </c>
      <c r="K48" s="60">
        <f t="shared" si="14"/>
        <v>0.19812000000000002</v>
      </c>
      <c r="L48" s="26">
        <f t="shared" si="8"/>
        <v>1.9812E-2</v>
      </c>
      <c r="M48" s="65">
        <f t="shared" si="9"/>
        <v>1.9812000000000002E-3</v>
      </c>
      <c r="N48" s="67">
        <f t="shared" si="15"/>
        <v>0.26</v>
      </c>
      <c r="O48" s="26">
        <f t="shared" si="16"/>
        <v>2.6000000000000002E-2</v>
      </c>
      <c r="P48" s="61">
        <f t="shared" si="10"/>
        <v>2.5999999999999999E-3</v>
      </c>
      <c r="Q48" s="58">
        <f t="shared" si="17"/>
        <v>1.3000000000000001E-2</v>
      </c>
      <c r="R48" s="26">
        <f t="shared" si="11"/>
        <v>51.3</v>
      </c>
      <c r="S48" s="27">
        <f t="shared" si="18"/>
        <v>61.3</v>
      </c>
      <c r="T48" s="25">
        <f t="shared" si="19"/>
        <v>6.6979895104895106E-3</v>
      </c>
      <c r="U48" s="28" t="str">
        <f t="shared" si="7"/>
        <v>SI</v>
      </c>
      <c r="V48" s="29">
        <f t="shared" si="12"/>
        <v>1.9408809135399676</v>
      </c>
      <c r="W48" s="20"/>
    </row>
    <row r="49" spans="1:23" x14ac:dyDescent="0.25">
      <c r="A49" s="90" t="s">
        <v>69</v>
      </c>
      <c r="B49" s="35" t="s">
        <v>70</v>
      </c>
      <c r="C49" s="3">
        <v>85</v>
      </c>
      <c r="D49" s="14"/>
      <c r="E49" s="3">
        <v>8300</v>
      </c>
      <c r="F49" s="3">
        <v>3.2</v>
      </c>
      <c r="G49" s="16">
        <f>$C49*$H$3*'ASTM D638-Probetas'!B$6</f>
        <v>4420</v>
      </c>
      <c r="H49" s="16">
        <f>$C49*$H$3*'ASTM D638-Probetas'!C$6</f>
        <v>2040</v>
      </c>
      <c r="I49" s="16">
        <f>$C49*$H$3*'ASTM D638-Probetas'!D$6</f>
        <v>11305</v>
      </c>
      <c r="J49" s="45">
        <f t="shared" si="13"/>
        <v>1.6</v>
      </c>
      <c r="K49" s="60">
        <f t="shared" si="14"/>
        <v>0.24384</v>
      </c>
      <c r="L49" s="26">
        <f t="shared" si="8"/>
        <v>2.4384000000000003E-2</v>
      </c>
      <c r="M49" s="65">
        <f t="shared" si="9"/>
        <v>2.4384000000000003E-3</v>
      </c>
      <c r="N49" s="67">
        <f t="shared" si="15"/>
        <v>0.32</v>
      </c>
      <c r="O49" s="26">
        <f t="shared" si="16"/>
        <v>3.2000000000000001E-2</v>
      </c>
      <c r="P49" s="61">
        <f t="shared" si="10"/>
        <v>3.2000000000000002E-3</v>
      </c>
      <c r="Q49" s="58">
        <f t="shared" si="17"/>
        <v>1.6E-2</v>
      </c>
      <c r="R49" s="26">
        <f t="shared" si="11"/>
        <v>51.6</v>
      </c>
      <c r="S49" s="27">
        <f t="shared" si="18"/>
        <v>61.6</v>
      </c>
      <c r="T49" s="25">
        <f t="shared" si="19"/>
        <v>6.7307692307692311E-3</v>
      </c>
      <c r="U49" s="28" t="str">
        <f t="shared" si="7"/>
        <v>SI</v>
      </c>
      <c r="V49" s="29">
        <f t="shared" si="12"/>
        <v>2.3771428571428572</v>
      </c>
      <c r="W49" s="20"/>
    </row>
    <row r="50" spans="1:23" x14ac:dyDescent="0.25">
      <c r="A50" s="91"/>
      <c r="B50" s="35" t="s">
        <v>71</v>
      </c>
      <c r="C50" s="3">
        <v>49</v>
      </c>
      <c r="D50" s="14"/>
      <c r="E50" s="3">
        <v>1900</v>
      </c>
      <c r="F50" s="3">
        <v>12</v>
      </c>
      <c r="G50" s="16">
        <f>$C50*$H$3*'ASTM D638-Probetas'!B$6</f>
        <v>2548</v>
      </c>
      <c r="H50" s="16">
        <f>$C50*$H$3*'ASTM D638-Probetas'!C$6</f>
        <v>1176</v>
      </c>
      <c r="I50" s="16">
        <f>$C50*$H$3*'ASTM D638-Probetas'!D$6</f>
        <v>6517</v>
      </c>
      <c r="J50" s="45">
        <f t="shared" si="13"/>
        <v>6</v>
      </c>
      <c r="K50" s="60">
        <f t="shared" si="14"/>
        <v>0.91439999999999999</v>
      </c>
      <c r="L50" s="26">
        <f t="shared" si="8"/>
        <v>9.1440000000000007E-2</v>
      </c>
      <c r="M50" s="65">
        <f t="shared" si="9"/>
        <v>9.1439999999999994E-3</v>
      </c>
      <c r="N50" s="60">
        <f t="shared" si="15"/>
        <v>1.2</v>
      </c>
      <c r="O50" s="26">
        <f t="shared" si="16"/>
        <v>0.12</v>
      </c>
      <c r="P50" s="61">
        <f t="shared" si="10"/>
        <v>1.2E-2</v>
      </c>
      <c r="Q50" s="58">
        <f t="shared" si="17"/>
        <v>0.06</v>
      </c>
      <c r="R50" s="26">
        <f t="shared" si="11"/>
        <v>56</v>
      </c>
      <c r="S50" s="27">
        <f t="shared" si="18"/>
        <v>66</v>
      </c>
      <c r="T50" s="25">
        <f t="shared" si="19"/>
        <v>7.2115384615384619E-3</v>
      </c>
      <c r="U50" s="28" t="str">
        <f t="shared" si="7"/>
        <v>SI</v>
      </c>
      <c r="V50" s="29">
        <f t="shared" si="12"/>
        <v>8.3199999999999985</v>
      </c>
      <c r="W50" s="20"/>
    </row>
    <row r="51" spans="1:23" x14ac:dyDescent="0.25">
      <c r="A51" s="91"/>
      <c r="B51" s="35" t="s">
        <v>72</v>
      </c>
      <c r="C51" s="3">
        <v>50</v>
      </c>
      <c r="D51" s="14"/>
      <c r="E51" s="3">
        <v>2000</v>
      </c>
      <c r="F51" s="3">
        <v>11</v>
      </c>
      <c r="G51" s="16">
        <f>$C51*$H$3*'ASTM D638-Probetas'!B$6</f>
        <v>2600</v>
      </c>
      <c r="H51" s="16">
        <f>$C51*$H$3*'ASTM D638-Probetas'!C$6</f>
        <v>1200</v>
      </c>
      <c r="I51" s="16">
        <f>$C51*$H$3*'ASTM D638-Probetas'!D$6</f>
        <v>6650</v>
      </c>
      <c r="J51" s="45">
        <f t="shared" si="13"/>
        <v>5.5</v>
      </c>
      <c r="K51" s="60">
        <f t="shared" si="14"/>
        <v>0.83820000000000006</v>
      </c>
      <c r="L51" s="26">
        <f t="shared" si="8"/>
        <v>8.3820000000000006E-2</v>
      </c>
      <c r="M51" s="65">
        <f t="shared" si="9"/>
        <v>8.3820000000000006E-3</v>
      </c>
      <c r="N51" s="60">
        <f t="shared" si="15"/>
        <v>1.1000000000000001</v>
      </c>
      <c r="O51" s="26">
        <f t="shared" si="16"/>
        <v>0.11</v>
      </c>
      <c r="P51" s="61">
        <f t="shared" si="10"/>
        <v>1.0999999999999999E-2</v>
      </c>
      <c r="Q51" s="58">
        <f t="shared" si="17"/>
        <v>5.5E-2</v>
      </c>
      <c r="R51" s="26">
        <f t="shared" si="11"/>
        <v>55.5</v>
      </c>
      <c r="S51" s="27">
        <f t="shared" si="18"/>
        <v>65.5</v>
      </c>
      <c r="T51" s="25">
        <f t="shared" si="19"/>
        <v>7.1569055944055941E-3</v>
      </c>
      <c r="U51" s="28" t="str">
        <f t="shared" si="7"/>
        <v>SI</v>
      </c>
      <c r="V51" s="29">
        <f t="shared" si="12"/>
        <v>7.6848854961832069</v>
      </c>
      <c r="W51" s="20"/>
    </row>
    <row r="52" spans="1:23" x14ac:dyDescent="0.25">
      <c r="A52" s="91"/>
      <c r="B52" s="35" t="s">
        <v>73</v>
      </c>
      <c r="C52" s="3">
        <v>52</v>
      </c>
      <c r="D52" s="14"/>
      <c r="E52" s="3">
        <v>1800</v>
      </c>
      <c r="F52" s="3">
        <v>30</v>
      </c>
      <c r="G52" s="16">
        <f>$C52*$H$3*'ASTM D638-Probetas'!B$6</f>
        <v>2704</v>
      </c>
      <c r="H52" s="16">
        <f>$C52*$H$3*'ASTM D638-Probetas'!C$6</f>
        <v>1248</v>
      </c>
      <c r="I52" s="16">
        <f>$C52*$H$3*'ASTM D638-Probetas'!D$6</f>
        <v>6916</v>
      </c>
      <c r="J52" s="45">
        <f t="shared" si="13"/>
        <v>15</v>
      </c>
      <c r="K52" s="60">
        <f t="shared" si="14"/>
        <v>2.286</v>
      </c>
      <c r="L52" s="26">
        <f t="shared" si="8"/>
        <v>0.2286</v>
      </c>
      <c r="M52" s="65">
        <f t="shared" si="9"/>
        <v>2.2860000000000002E-2</v>
      </c>
      <c r="N52" s="60">
        <f t="shared" si="15"/>
        <v>3</v>
      </c>
      <c r="O52" s="26">
        <f t="shared" si="16"/>
        <v>0.3</v>
      </c>
      <c r="P52" s="61">
        <f t="shared" si="10"/>
        <v>0.03</v>
      </c>
      <c r="Q52" s="58">
        <f t="shared" si="17"/>
        <v>0.15</v>
      </c>
      <c r="R52" s="26">
        <f t="shared" si="11"/>
        <v>65</v>
      </c>
      <c r="S52" s="27">
        <f t="shared" si="18"/>
        <v>75</v>
      </c>
      <c r="T52" s="25">
        <f t="shared" si="19"/>
        <v>8.19493006993007E-3</v>
      </c>
      <c r="U52" s="28" t="str">
        <f t="shared" si="7"/>
        <v>SI</v>
      </c>
      <c r="V52" s="29">
        <f t="shared" si="12"/>
        <v>18.303999999999998</v>
      </c>
      <c r="W52" s="20"/>
    </row>
    <row r="53" spans="1:23" x14ac:dyDescent="0.25">
      <c r="A53" s="91"/>
      <c r="B53" s="35" t="s">
        <v>74</v>
      </c>
      <c r="C53" s="3">
        <v>50</v>
      </c>
      <c r="D53" s="14"/>
      <c r="E53" s="3">
        <v>2000</v>
      </c>
      <c r="F53" s="3">
        <v>17</v>
      </c>
      <c r="G53" s="16">
        <f>$C53*$H$3*'ASTM D638-Probetas'!B$6</f>
        <v>2600</v>
      </c>
      <c r="H53" s="16">
        <f>$C53*$H$3*'ASTM D638-Probetas'!C$6</f>
        <v>1200</v>
      </c>
      <c r="I53" s="16">
        <f>$C53*$H$3*'ASTM D638-Probetas'!D$6</f>
        <v>6650</v>
      </c>
      <c r="J53" s="45">
        <f t="shared" si="13"/>
        <v>8.5</v>
      </c>
      <c r="K53" s="60">
        <f t="shared" si="14"/>
        <v>1.2954000000000001</v>
      </c>
      <c r="L53" s="26">
        <f t="shared" si="8"/>
        <v>0.12954000000000002</v>
      </c>
      <c r="M53" s="65">
        <f t="shared" si="9"/>
        <v>1.2954000000000002E-2</v>
      </c>
      <c r="N53" s="60">
        <f t="shared" si="15"/>
        <v>1.7</v>
      </c>
      <c r="O53" s="26">
        <f t="shared" si="16"/>
        <v>0.17</v>
      </c>
      <c r="P53" s="61">
        <f t="shared" si="10"/>
        <v>1.7000000000000001E-2</v>
      </c>
      <c r="Q53" s="58">
        <f t="shared" si="17"/>
        <v>8.5000000000000006E-2</v>
      </c>
      <c r="R53" s="26">
        <f t="shared" si="11"/>
        <v>58.5</v>
      </c>
      <c r="S53" s="27">
        <f t="shared" si="18"/>
        <v>68.5</v>
      </c>
      <c r="T53" s="25">
        <f t="shared" si="19"/>
        <v>7.484702797202797E-3</v>
      </c>
      <c r="U53" s="28" t="str">
        <f t="shared" si="7"/>
        <v>SI</v>
      </c>
      <c r="V53" s="29">
        <f t="shared" si="12"/>
        <v>11.356496350364965</v>
      </c>
      <c r="W53" s="20"/>
    </row>
    <row r="54" spans="1:23" x14ac:dyDescent="0.25">
      <c r="A54" s="91"/>
      <c r="B54" s="35" t="s">
        <v>75</v>
      </c>
      <c r="C54" s="3">
        <v>50</v>
      </c>
      <c r="D54" s="14"/>
      <c r="E54" s="3">
        <v>3600</v>
      </c>
      <c r="F54" s="3">
        <v>5</v>
      </c>
      <c r="G54" s="16">
        <f>$C54*$H$3*'ASTM D638-Probetas'!B$6</f>
        <v>2600</v>
      </c>
      <c r="H54" s="16">
        <f>$C54*$H$3*'ASTM D638-Probetas'!C$6</f>
        <v>1200</v>
      </c>
      <c r="I54" s="16">
        <f>$C54*$H$3*'ASTM D638-Probetas'!D$6</f>
        <v>6650</v>
      </c>
      <c r="J54" s="45">
        <f t="shared" si="13"/>
        <v>2.5</v>
      </c>
      <c r="K54" s="60">
        <f t="shared" si="14"/>
        <v>0.38100000000000001</v>
      </c>
      <c r="L54" s="26">
        <f t="shared" si="8"/>
        <v>3.8100000000000002E-2</v>
      </c>
      <c r="M54" s="65">
        <f t="shared" si="9"/>
        <v>3.81E-3</v>
      </c>
      <c r="N54" s="60">
        <f t="shared" si="15"/>
        <v>0.5</v>
      </c>
      <c r="O54" s="26">
        <f t="shared" si="16"/>
        <v>0.05</v>
      </c>
      <c r="P54" s="61">
        <f t="shared" si="10"/>
        <v>5.0000000000000001E-3</v>
      </c>
      <c r="Q54" s="58">
        <f t="shared" si="17"/>
        <v>2.5000000000000001E-2</v>
      </c>
      <c r="R54" s="26">
        <f t="shared" si="11"/>
        <v>52.5</v>
      </c>
      <c r="S54" s="27">
        <f t="shared" si="18"/>
        <v>62.5</v>
      </c>
      <c r="T54" s="25">
        <f t="shared" si="19"/>
        <v>6.8291083916083919E-3</v>
      </c>
      <c r="U54" s="28" t="str">
        <f t="shared" si="7"/>
        <v>SI</v>
      </c>
      <c r="V54" s="29">
        <f t="shared" si="12"/>
        <v>3.6608000000000001</v>
      </c>
      <c r="W54" s="20"/>
    </row>
    <row r="55" spans="1:23" x14ac:dyDescent="0.25">
      <c r="A55" s="91"/>
      <c r="B55" s="35" t="s">
        <v>76</v>
      </c>
      <c r="C55" s="1">
        <v>90</v>
      </c>
      <c r="D55" s="15"/>
      <c r="E55" s="1">
        <v>5000</v>
      </c>
      <c r="F55" s="1">
        <v>14</v>
      </c>
      <c r="G55" s="16">
        <f>$C55*$H$3*'ASTM D638-Probetas'!B$6</f>
        <v>4680</v>
      </c>
      <c r="H55" s="16">
        <f>$C55*$H$3*'ASTM D638-Probetas'!C$6</f>
        <v>2160</v>
      </c>
      <c r="I55" s="16">
        <f>$C55*$H$3*'ASTM D638-Probetas'!D$6</f>
        <v>11970</v>
      </c>
      <c r="J55" s="45">
        <f t="shared" si="13"/>
        <v>7.0000000000000009</v>
      </c>
      <c r="K55" s="60">
        <f t="shared" si="14"/>
        <v>1.0668000000000002</v>
      </c>
      <c r="L55" s="26">
        <f t="shared" si="8"/>
        <v>0.10668000000000001</v>
      </c>
      <c r="M55" s="65">
        <f t="shared" si="9"/>
        <v>1.0668000000000002E-2</v>
      </c>
      <c r="N55" s="60">
        <f t="shared" si="15"/>
        <v>1.4000000000000001</v>
      </c>
      <c r="O55" s="26">
        <f t="shared" si="16"/>
        <v>0.14000000000000001</v>
      </c>
      <c r="P55" s="61">
        <f t="shared" si="10"/>
        <v>1.4000000000000002E-2</v>
      </c>
      <c r="Q55" s="58">
        <f t="shared" si="17"/>
        <v>7.0000000000000007E-2</v>
      </c>
      <c r="R55" s="26">
        <f t="shared" si="11"/>
        <v>57</v>
      </c>
      <c r="S55" s="27">
        <f t="shared" si="18"/>
        <v>67</v>
      </c>
      <c r="T55" s="25">
        <f t="shared" si="19"/>
        <v>7.320804195804196E-3</v>
      </c>
      <c r="U55" s="28" t="str">
        <f t="shared" si="7"/>
        <v>SI</v>
      </c>
      <c r="V55" s="29">
        <f t="shared" si="12"/>
        <v>9.5617910447761201</v>
      </c>
      <c r="W55" s="20"/>
    </row>
    <row r="56" spans="1:23" x14ac:dyDescent="0.25">
      <c r="A56" s="91"/>
      <c r="B56" s="35" t="s">
        <v>77</v>
      </c>
      <c r="C56" s="3">
        <v>45</v>
      </c>
      <c r="D56" s="14"/>
      <c r="E56" s="3">
        <v>3900</v>
      </c>
      <c r="F56" s="3">
        <v>1.5</v>
      </c>
      <c r="G56" s="16">
        <f>$C56*$H$3*'ASTM D638-Probetas'!B$6</f>
        <v>2340</v>
      </c>
      <c r="H56" s="16">
        <f>$C56*$H$3*'ASTM D638-Probetas'!C$6</f>
        <v>1080</v>
      </c>
      <c r="I56" s="16">
        <f>$C56*$H$3*'ASTM D638-Probetas'!D$6</f>
        <v>5985</v>
      </c>
      <c r="J56" s="45">
        <f t="shared" si="13"/>
        <v>0.75</v>
      </c>
      <c r="K56" s="60">
        <f t="shared" si="14"/>
        <v>0.1143</v>
      </c>
      <c r="L56" s="26">
        <f t="shared" si="8"/>
        <v>1.1430000000000001E-2</v>
      </c>
      <c r="M56" s="65">
        <f t="shared" si="9"/>
        <v>1.1429999999999999E-3</v>
      </c>
      <c r="N56" s="67">
        <f t="shared" si="15"/>
        <v>0.15</v>
      </c>
      <c r="O56" s="26">
        <f t="shared" si="16"/>
        <v>1.4999999999999999E-2</v>
      </c>
      <c r="P56" s="61">
        <f t="shared" si="10"/>
        <v>1.5E-3</v>
      </c>
      <c r="Q56" s="59">
        <f t="shared" si="17"/>
        <v>7.4999999999999997E-3</v>
      </c>
      <c r="R56" s="26">
        <f t="shared" si="11"/>
        <v>50.75</v>
      </c>
      <c r="S56" s="27">
        <f t="shared" si="18"/>
        <v>60.75</v>
      </c>
      <c r="T56" s="25">
        <f t="shared" si="19"/>
        <v>6.637893356643357E-3</v>
      </c>
      <c r="U56" s="28" t="str">
        <f t="shared" si="7"/>
        <v>SI</v>
      </c>
      <c r="V56" s="29">
        <f t="shared" si="12"/>
        <v>1.1298765432098765</v>
      </c>
      <c r="W56" s="20"/>
    </row>
    <row r="57" spans="1:23" x14ac:dyDescent="0.25">
      <c r="A57" s="91"/>
      <c r="B57" s="35" t="s">
        <v>78</v>
      </c>
      <c r="C57" s="3">
        <v>40</v>
      </c>
      <c r="D57" s="14"/>
      <c r="E57" s="3">
        <v>2000</v>
      </c>
      <c r="F57" s="3">
        <v>9</v>
      </c>
      <c r="G57" s="16">
        <f>$C57*$H$3*'ASTM D638-Probetas'!B$6</f>
        <v>2080</v>
      </c>
      <c r="H57" s="16">
        <f>$C57*$H$3*'ASTM D638-Probetas'!C$6</f>
        <v>960</v>
      </c>
      <c r="I57" s="16">
        <f>$C57*$H$3*'ASTM D638-Probetas'!D$6</f>
        <v>5320</v>
      </c>
      <c r="J57" s="45">
        <f t="shared" si="13"/>
        <v>4.5</v>
      </c>
      <c r="K57" s="60">
        <f t="shared" si="14"/>
        <v>0.68579999999999997</v>
      </c>
      <c r="L57" s="26">
        <f t="shared" si="8"/>
        <v>6.8580000000000002E-2</v>
      </c>
      <c r="M57" s="65">
        <f t="shared" si="9"/>
        <v>6.8579999999999995E-3</v>
      </c>
      <c r="N57" s="60">
        <f t="shared" si="15"/>
        <v>0.9</v>
      </c>
      <c r="O57" s="26">
        <f t="shared" si="16"/>
        <v>0.09</v>
      </c>
      <c r="P57" s="61">
        <f t="shared" si="10"/>
        <v>8.9999999999999993E-3</v>
      </c>
      <c r="Q57" s="58">
        <f t="shared" si="17"/>
        <v>4.4999999999999998E-2</v>
      </c>
      <c r="R57" s="26">
        <f t="shared" si="11"/>
        <v>54.5</v>
      </c>
      <c r="S57" s="27">
        <f t="shared" si="18"/>
        <v>64.5</v>
      </c>
      <c r="T57" s="25">
        <f t="shared" si="19"/>
        <v>7.04763986013986E-3</v>
      </c>
      <c r="U57" s="28" t="str">
        <f t="shared" si="7"/>
        <v>SI</v>
      </c>
      <c r="V57" s="29">
        <f t="shared" si="12"/>
        <v>6.3851162790697673</v>
      </c>
      <c r="W57" s="20"/>
    </row>
    <row r="58" spans="1:23" x14ac:dyDescent="0.25">
      <c r="A58" s="91"/>
      <c r="B58" s="35" t="s">
        <v>79</v>
      </c>
      <c r="C58" s="3">
        <v>55</v>
      </c>
      <c r="D58" s="14"/>
      <c r="E58" s="3">
        <v>2900</v>
      </c>
      <c r="F58" s="3">
        <v>6</v>
      </c>
      <c r="G58" s="16">
        <f>$C58*$H$3*'ASTM D638-Probetas'!B$6</f>
        <v>2860</v>
      </c>
      <c r="H58" s="16">
        <f>$C58*$H$3*'ASTM D638-Probetas'!C$6</f>
        <v>1320</v>
      </c>
      <c r="I58" s="16">
        <f>$C58*$H$3*'ASTM D638-Probetas'!D$6</f>
        <v>7315</v>
      </c>
      <c r="J58" s="45">
        <f t="shared" si="13"/>
        <v>3</v>
      </c>
      <c r="K58" s="60">
        <f t="shared" si="14"/>
        <v>0.4572</v>
      </c>
      <c r="L58" s="26">
        <f t="shared" si="8"/>
        <v>4.5720000000000004E-2</v>
      </c>
      <c r="M58" s="65">
        <f t="shared" si="9"/>
        <v>4.5719999999999997E-3</v>
      </c>
      <c r="N58" s="60">
        <f t="shared" si="15"/>
        <v>0.6</v>
      </c>
      <c r="O58" s="26">
        <f t="shared" si="16"/>
        <v>0.06</v>
      </c>
      <c r="P58" s="61">
        <f t="shared" si="10"/>
        <v>6.0000000000000001E-3</v>
      </c>
      <c r="Q58" s="58">
        <f t="shared" si="17"/>
        <v>0.03</v>
      </c>
      <c r="R58" s="26">
        <f t="shared" si="11"/>
        <v>53</v>
      </c>
      <c r="S58" s="27">
        <f t="shared" si="18"/>
        <v>63</v>
      </c>
      <c r="T58" s="25">
        <f t="shared" si="19"/>
        <v>6.883741258741259E-3</v>
      </c>
      <c r="U58" s="28" t="str">
        <f t="shared" si="7"/>
        <v>SI</v>
      </c>
      <c r="V58" s="29">
        <f t="shared" si="12"/>
        <v>4.3580952380952374</v>
      </c>
      <c r="W58" s="20"/>
    </row>
    <row r="59" spans="1:23" x14ac:dyDescent="0.25">
      <c r="A59" s="91"/>
      <c r="B59" s="35" t="s">
        <v>80</v>
      </c>
      <c r="C59" s="3">
        <v>55</v>
      </c>
      <c r="D59" s="14"/>
      <c r="E59" s="3">
        <v>3300</v>
      </c>
      <c r="F59" s="3">
        <v>9</v>
      </c>
      <c r="G59" s="16">
        <f>$C59*$H$3*'ASTM D638-Probetas'!B$6</f>
        <v>2860</v>
      </c>
      <c r="H59" s="16">
        <f>$C59*$H$3*'ASTM D638-Probetas'!C$6</f>
        <v>1320</v>
      </c>
      <c r="I59" s="16">
        <f>$C59*$H$3*'ASTM D638-Probetas'!D$6</f>
        <v>7315</v>
      </c>
      <c r="J59" s="45">
        <f t="shared" si="13"/>
        <v>4.5</v>
      </c>
      <c r="K59" s="60">
        <f t="shared" si="14"/>
        <v>0.68579999999999997</v>
      </c>
      <c r="L59" s="26">
        <f t="shared" si="8"/>
        <v>6.8580000000000002E-2</v>
      </c>
      <c r="M59" s="65">
        <f t="shared" si="9"/>
        <v>6.8579999999999995E-3</v>
      </c>
      <c r="N59" s="60">
        <f t="shared" si="15"/>
        <v>0.9</v>
      </c>
      <c r="O59" s="26">
        <f t="shared" si="16"/>
        <v>0.09</v>
      </c>
      <c r="P59" s="61">
        <f t="shared" si="10"/>
        <v>8.9999999999999993E-3</v>
      </c>
      <c r="Q59" s="58">
        <f t="shared" si="17"/>
        <v>4.4999999999999998E-2</v>
      </c>
      <c r="R59" s="26">
        <f t="shared" si="11"/>
        <v>54.5</v>
      </c>
      <c r="S59" s="27">
        <f t="shared" si="18"/>
        <v>64.5</v>
      </c>
      <c r="T59" s="25">
        <f t="shared" si="19"/>
        <v>7.04763986013986E-3</v>
      </c>
      <c r="U59" s="28" t="str">
        <f t="shared" si="7"/>
        <v>SI</v>
      </c>
      <c r="V59" s="29">
        <f t="shared" si="12"/>
        <v>6.3851162790697673</v>
      </c>
      <c r="W59" s="20"/>
    </row>
    <row r="60" spans="1:23" x14ac:dyDescent="0.25">
      <c r="A60" s="91"/>
      <c r="B60" s="35" t="s">
        <v>81</v>
      </c>
      <c r="C60" s="3">
        <v>55</v>
      </c>
      <c r="D60" s="14"/>
      <c r="E60" s="3">
        <v>3000</v>
      </c>
      <c r="F60" s="3">
        <v>5</v>
      </c>
      <c r="G60" s="16">
        <f>$C60*$H$3*'ASTM D638-Probetas'!B$6</f>
        <v>2860</v>
      </c>
      <c r="H60" s="16">
        <f>$C60*$H$3*'ASTM D638-Probetas'!C$6</f>
        <v>1320</v>
      </c>
      <c r="I60" s="16">
        <f>$C60*$H$3*'ASTM D638-Probetas'!D$6</f>
        <v>7315</v>
      </c>
      <c r="J60" s="45">
        <f t="shared" si="13"/>
        <v>2.5</v>
      </c>
      <c r="K60" s="60">
        <f t="shared" si="14"/>
        <v>0.38100000000000001</v>
      </c>
      <c r="L60" s="26">
        <f t="shared" si="8"/>
        <v>3.8100000000000002E-2</v>
      </c>
      <c r="M60" s="65">
        <f t="shared" si="9"/>
        <v>3.81E-3</v>
      </c>
      <c r="N60" s="60">
        <f t="shared" si="15"/>
        <v>0.5</v>
      </c>
      <c r="O60" s="26">
        <f t="shared" si="16"/>
        <v>0.05</v>
      </c>
      <c r="P60" s="61">
        <f t="shared" si="10"/>
        <v>5.0000000000000001E-3</v>
      </c>
      <c r="Q60" s="58">
        <f t="shared" si="17"/>
        <v>2.5000000000000001E-2</v>
      </c>
      <c r="R60" s="26">
        <f t="shared" si="11"/>
        <v>52.5</v>
      </c>
      <c r="S60" s="27">
        <f t="shared" si="18"/>
        <v>62.5</v>
      </c>
      <c r="T60" s="25">
        <f t="shared" si="19"/>
        <v>6.8291083916083919E-3</v>
      </c>
      <c r="U60" s="28" t="str">
        <f t="shared" si="7"/>
        <v>SI</v>
      </c>
      <c r="V60" s="29">
        <f t="shared" si="12"/>
        <v>3.6608000000000001</v>
      </c>
      <c r="W60" s="20"/>
    </row>
    <row r="61" spans="1:23" x14ac:dyDescent="0.25">
      <c r="A61" s="91"/>
      <c r="B61" s="35" t="s">
        <v>82</v>
      </c>
      <c r="C61" s="3">
        <v>70</v>
      </c>
      <c r="D61" s="14"/>
      <c r="E61" s="3">
        <v>10000</v>
      </c>
      <c r="F61" s="3">
        <v>1</v>
      </c>
      <c r="G61" s="16">
        <f>$C61*$H$3*'ASTM D638-Probetas'!B$6</f>
        <v>3640</v>
      </c>
      <c r="H61" s="16">
        <f>$C61*$H$3*'ASTM D638-Probetas'!C$6</f>
        <v>1680</v>
      </c>
      <c r="I61" s="16">
        <f>$C61*$H$3*'ASTM D638-Probetas'!D$6</f>
        <v>9310</v>
      </c>
      <c r="J61" s="45">
        <f t="shared" si="13"/>
        <v>0.5</v>
      </c>
      <c r="K61" s="60">
        <f t="shared" si="14"/>
        <v>7.6200000000000004E-2</v>
      </c>
      <c r="L61" s="26">
        <f t="shared" si="8"/>
        <v>7.62E-3</v>
      </c>
      <c r="M61" s="65">
        <f t="shared" si="9"/>
        <v>7.6200000000000009E-4</v>
      </c>
      <c r="N61" s="67">
        <f t="shared" si="15"/>
        <v>0.1</v>
      </c>
      <c r="O61" s="26">
        <f t="shared" si="16"/>
        <v>0.01</v>
      </c>
      <c r="P61" s="61">
        <f t="shared" si="10"/>
        <v>1E-3</v>
      </c>
      <c r="Q61" s="59">
        <f t="shared" si="17"/>
        <v>5.0000000000000001E-3</v>
      </c>
      <c r="R61" s="26">
        <f t="shared" si="11"/>
        <v>50.5</v>
      </c>
      <c r="S61" s="27">
        <f t="shared" si="18"/>
        <v>60.5</v>
      </c>
      <c r="T61" s="25">
        <f t="shared" si="19"/>
        <v>6.610576923076923E-3</v>
      </c>
      <c r="U61" s="28" t="str">
        <f t="shared" si="7"/>
        <v>NO</v>
      </c>
      <c r="V61" s="29">
        <f t="shared" si="12"/>
        <v>0.75636363636363635</v>
      </c>
      <c r="W61" s="20"/>
    </row>
    <row r="62" spans="1:23" x14ac:dyDescent="0.25">
      <c r="A62" s="91"/>
      <c r="B62" s="35" t="s">
        <v>83</v>
      </c>
      <c r="C62" s="2">
        <v>60</v>
      </c>
      <c r="D62" s="12"/>
      <c r="E62" s="2">
        <v>2600</v>
      </c>
      <c r="F62" s="2">
        <v>8</v>
      </c>
      <c r="G62" s="16">
        <f>$C62*$H$3*'ASTM D638-Probetas'!B$6</f>
        <v>3120</v>
      </c>
      <c r="H62" s="16">
        <f>$C62*$H$3*'ASTM D638-Probetas'!C$6</f>
        <v>1440</v>
      </c>
      <c r="I62" s="16">
        <f>$C62*$H$3*'ASTM D638-Probetas'!D$6</f>
        <v>7980</v>
      </c>
      <c r="J62" s="45">
        <f t="shared" si="13"/>
        <v>4</v>
      </c>
      <c r="K62" s="60">
        <f t="shared" si="14"/>
        <v>0.60960000000000003</v>
      </c>
      <c r="L62" s="26">
        <f t="shared" si="8"/>
        <v>6.096E-2</v>
      </c>
      <c r="M62" s="65">
        <f t="shared" si="9"/>
        <v>6.0960000000000007E-3</v>
      </c>
      <c r="N62" s="60">
        <f t="shared" si="15"/>
        <v>0.8</v>
      </c>
      <c r="O62" s="26">
        <f t="shared" si="16"/>
        <v>0.08</v>
      </c>
      <c r="P62" s="61">
        <f t="shared" si="10"/>
        <v>8.0000000000000002E-3</v>
      </c>
      <c r="Q62" s="58">
        <f t="shared" si="17"/>
        <v>0.04</v>
      </c>
      <c r="R62" s="26">
        <f t="shared" si="11"/>
        <v>54</v>
      </c>
      <c r="S62" s="27">
        <f t="shared" si="18"/>
        <v>64</v>
      </c>
      <c r="T62" s="25">
        <f t="shared" si="19"/>
        <v>6.993006993006993E-3</v>
      </c>
      <c r="U62" s="28" t="str">
        <f t="shared" si="7"/>
        <v>SI</v>
      </c>
      <c r="V62" s="29">
        <f t="shared" si="12"/>
        <v>5.72</v>
      </c>
      <c r="W62" s="20"/>
    </row>
    <row r="63" spans="1:23" x14ac:dyDescent="0.25">
      <c r="A63" s="91"/>
      <c r="B63" s="35" t="s">
        <v>84</v>
      </c>
      <c r="C63" s="2">
        <v>44.9</v>
      </c>
      <c r="D63" s="12"/>
      <c r="E63" s="2">
        <v>2100</v>
      </c>
      <c r="F63" s="2">
        <v>6.1</v>
      </c>
      <c r="G63" s="16">
        <f>$C63*$H$3*'ASTM D638-Probetas'!B$6</f>
        <v>2334.7999999999997</v>
      </c>
      <c r="H63" s="16">
        <f>$C63*$H$3*'ASTM D638-Probetas'!C$6</f>
        <v>1077.5999999999999</v>
      </c>
      <c r="I63" s="16">
        <f>$C63*$H$3*'ASTM D638-Probetas'!D$6</f>
        <v>5971.7</v>
      </c>
      <c r="J63" s="45">
        <f t="shared" si="13"/>
        <v>3.05</v>
      </c>
      <c r="K63" s="60">
        <f t="shared" si="14"/>
        <v>0.46482000000000001</v>
      </c>
      <c r="L63" s="26">
        <f t="shared" si="8"/>
        <v>4.6481999999999996E-2</v>
      </c>
      <c r="M63" s="65">
        <f t="shared" si="9"/>
        <v>4.6481999999999999E-3</v>
      </c>
      <c r="N63" s="60">
        <f t="shared" si="15"/>
        <v>0.61</v>
      </c>
      <c r="O63" s="26">
        <f t="shared" si="16"/>
        <v>6.0999999999999999E-2</v>
      </c>
      <c r="P63" s="61">
        <f t="shared" si="10"/>
        <v>6.0999999999999995E-3</v>
      </c>
      <c r="Q63" s="58">
        <f t="shared" si="17"/>
        <v>3.0499999999999999E-2</v>
      </c>
      <c r="R63" s="26">
        <f t="shared" si="11"/>
        <v>53.05</v>
      </c>
      <c r="S63" s="27">
        <f t="shared" si="18"/>
        <v>63.05</v>
      </c>
      <c r="T63" s="25">
        <f t="shared" si="19"/>
        <v>6.8892045454545447E-3</v>
      </c>
      <c r="U63" s="28" t="str">
        <f t="shared" si="7"/>
        <v>SI</v>
      </c>
      <c r="V63" s="29">
        <f t="shared" si="12"/>
        <v>4.4272164948453616</v>
      </c>
      <c r="W63" s="20"/>
    </row>
    <row r="64" spans="1:23" x14ac:dyDescent="0.25">
      <c r="A64" s="91"/>
      <c r="B64" s="35" t="s">
        <v>85</v>
      </c>
      <c r="C64" s="1">
        <v>100</v>
      </c>
      <c r="D64" s="15"/>
      <c r="E64" s="1">
        <v>3500</v>
      </c>
      <c r="F64" s="1">
        <v>22</v>
      </c>
      <c r="G64" s="16">
        <f>$C64*$H$3*'ASTM D638-Probetas'!B$6</f>
        <v>5200</v>
      </c>
      <c r="H64" s="16">
        <f>$C64*$H$3*'ASTM D638-Probetas'!C$6</f>
        <v>2400</v>
      </c>
      <c r="I64" s="16">
        <f>$C64*$H$3*'ASTM D638-Probetas'!D$6</f>
        <v>13300</v>
      </c>
      <c r="J64" s="45">
        <f t="shared" si="13"/>
        <v>11</v>
      </c>
      <c r="K64" s="60">
        <f t="shared" si="14"/>
        <v>1.6764000000000001</v>
      </c>
      <c r="L64" s="26">
        <f t="shared" si="8"/>
        <v>0.16764000000000001</v>
      </c>
      <c r="M64" s="65">
        <f t="shared" si="9"/>
        <v>1.6764000000000001E-2</v>
      </c>
      <c r="N64" s="60">
        <f t="shared" si="15"/>
        <v>2.2000000000000002</v>
      </c>
      <c r="O64" s="26">
        <f t="shared" si="16"/>
        <v>0.22</v>
      </c>
      <c r="P64" s="61">
        <f t="shared" si="10"/>
        <v>2.1999999999999999E-2</v>
      </c>
      <c r="Q64" s="58">
        <f t="shared" si="17"/>
        <v>0.11</v>
      </c>
      <c r="R64" s="26">
        <f t="shared" si="11"/>
        <v>61</v>
      </c>
      <c r="S64" s="27">
        <f t="shared" si="18"/>
        <v>71</v>
      </c>
      <c r="T64" s="25">
        <f t="shared" si="19"/>
        <v>7.757867132867133E-3</v>
      </c>
      <c r="U64" s="28" t="str">
        <f t="shared" si="7"/>
        <v>SI</v>
      </c>
      <c r="V64" s="29">
        <f t="shared" si="12"/>
        <v>14.179154929577464</v>
      </c>
      <c r="W64" s="20"/>
    </row>
    <row r="65" spans="1:23" x14ac:dyDescent="0.25">
      <c r="A65" s="91"/>
      <c r="B65" s="35" t="s">
        <v>86</v>
      </c>
      <c r="C65" s="1">
        <v>25</v>
      </c>
      <c r="D65" s="15"/>
      <c r="E65" s="1">
        <v>700</v>
      </c>
      <c r="F65" s="1">
        <v>230</v>
      </c>
      <c r="G65" s="16">
        <f>$C65*$H$3*'ASTM D638-Probetas'!B$6</f>
        <v>1300</v>
      </c>
      <c r="H65" s="16">
        <f>$C65*$H$3*'ASTM D638-Probetas'!C$6</f>
        <v>600</v>
      </c>
      <c r="I65" s="16">
        <f>$C65*$H$3*'ASTM D638-Probetas'!D$6</f>
        <v>3325</v>
      </c>
      <c r="J65" s="45">
        <f t="shared" si="13"/>
        <v>114.99999999999999</v>
      </c>
      <c r="K65" s="60">
        <f t="shared" si="14"/>
        <v>17.526</v>
      </c>
      <c r="L65" s="26">
        <f t="shared" si="8"/>
        <v>1.7525999999999997</v>
      </c>
      <c r="M65" s="65">
        <f t="shared" si="9"/>
        <v>0.17526</v>
      </c>
      <c r="N65" s="60">
        <f t="shared" si="15"/>
        <v>22.999999999999996</v>
      </c>
      <c r="O65" s="26">
        <f t="shared" si="16"/>
        <v>2.2999999999999998</v>
      </c>
      <c r="P65" s="61">
        <f t="shared" si="10"/>
        <v>0.22999999999999998</v>
      </c>
      <c r="Q65" s="58">
        <f t="shared" si="17"/>
        <v>1.1499999999999999</v>
      </c>
      <c r="R65" s="26">
        <f t="shared" si="11"/>
        <v>165</v>
      </c>
      <c r="S65" s="27">
        <f t="shared" si="18"/>
        <v>175</v>
      </c>
      <c r="T65" s="25">
        <f t="shared" si="19"/>
        <v>1.9121503496503496E-2</v>
      </c>
      <c r="U65" s="28" t="str">
        <f t="shared" si="7"/>
        <v>SI</v>
      </c>
      <c r="V65" s="29">
        <f t="shared" si="12"/>
        <v>60.141714285714279</v>
      </c>
      <c r="W65" s="20"/>
    </row>
    <row r="66" spans="1:23" x14ac:dyDescent="0.25">
      <c r="A66" s="95" t="s">
        <v>132</v>
      </c>
      <c r="B66" s="35" t="s">
        <v>133</v>
      </c>
      <c r="C66" s="3">
        <v>99</v>
      </c>
      <c r="D66" s="14"/>
      <c r="E66" s="2">
        <v>8150</v>
      </c>
      <c r="F66" s="2">
        <v>1.5</v>
      </c>
      <c r="G66" s="16">
        <f>$C66*$H$3*'ASTM D638-Probetas'!B$6</f>
        <v>5148</v>
      </c>
      <c r="H66" s="16">
        <f>$C66*$H$3*'ASTM D638-Probetas'!C$6</f>
        <v>2376</v>
      </c>
      <c r="I66" s="16">
        <f>$C66*$H$3*'ASTM D638-Probetas'!D$6</f>
        <v>13167</v>
      </c>
      <c r="J66" s="45">
        <f t="shared" si="13"/>
        <v>0.75</v>
      </c>
      <c r="K66" s="60">
        <f t="shared" si="14"/>
        <v>0.1143</v>
      </c>
      <c r="L66" s="26">
        <f t="shared" si="8"/>
        <v>1.1430000000000001E-2</v>
      </c>
      <c r="M66" s="65">
        <f t="shared" si="9"/>
        <v>1.1429999999999999E-3</v>
      </c>
      <c r="N66" s="67">
        <f t="shared" si="15"/>
        <v>0.15</v>
      </c>
      <c r="O66" s="26">
        <f t="shared" si="16"/>
        <v>1.4999999999999999E-2</v>
      </c>
      <c r="P66" s="61">
        <f t="shared" si="10"/>
        <v>1.5E-3</v>
      </c>
      <c r="Q66" s="58">
        <f t="shared" si="17"/>
        <v>7.4999999999999997E-3</v>
      </c>
      <c r="R66" s="26">
        <f t="shared" ref="R66:R73" si="20">50+J66</f>
        <v>50.75</v>
      </c>
      <c r="S66" s="27">
        <f t="shared" si="18"/>
        <v>60.75</v>
      </c>
      <c r="T66" s="25">
        <f t="shared" si="19"/>
        <v>6.637893356643357E-3</v>
      </c>
      <c r="U66" s="28" t="str">
        <f t="shared" ref="U66:U73" si="21">IF(T66&lt;Q66,"SI",IF(Q66=0,"SI",IF(T66&gt;Q66,"NO")))</f>
        <v>SI</v>
      </c>
      <c r="V66" s="29">
        <f t="shared" ref="V66:V73" si="22">Q66/T66</f>
        <v>1.1298765432098765</v>
      </c>
      <c r="W66" s="20"/>
    </row>
    <row r="67" spans="1:23" x14ac:dyDescent="0.25">
      <c r="A67" s="96"/>
      <c r="B67" s="35" t="s">
        <v>134</v>
      </c>
      <c r="C67" s="1">
        <v>30</v>
      </c>
      <c r="D67" s="15"/>
      <c r="E67" s="1">
        <v>1050</v>
      </c>
      <c r="F67" s="1">
        <v>6</v>
      </c>
      <c r="G67" s="16">
        <f>$C67*$H$3*'ASTM D638-Probetas'!B$6</f>
        <v>1560</v>
      </c>
      <c r="H67" s="16">
        <f>$C67*$H$3*'ASTM D638-Probetas'!C$6</f>
        <v>720</v>
      </c>
      <c r="I67" s="16">
        <f>$C67*$H$3*'ASTM D638-Probetas'!D$6</f>
        <v>3990</v>
      </c>
      <c r="J67" s="45">
        <f t="shared" si="13"/>
        <v>3</v>
      </c>
      <c r="K67" s="60">
        <f t="shared" si="14"/>
        <v>0.4572</v>
      </c>
      <c r="L67" s="26">
        <f t="shared" si="8"/>
        <v>4.5720000000000004E-2</v>
      </c>
      <c r="M67" s="65">
        <f t="shared" si="9"/>
        <v>4.5719999999999997E-3</v>
      </c>
      <c r="N67" s="60">
        <f t="shared" si="15"/>
        <v>0.6</v>
      </c>
      <c r="O67" s="26">
        <f t="shared" si="16"/>
        <v>0.06</v>
      </c>
      <c r="P67" s="61">
        <f t="shared" si="10"/>
        <v>6.0000000000000001E-3</v>
      </c>
      <c r="Q67" s="58">
        <f t="shared" si="17"/>
        <v>0.03</v>
      </c>
      <c r="R67" s="26">
        <f t="shared" si="20"/>
        <v>53</v>
      </c>
      <c r="S67" s="27">
        <f t="shared" si="18"/>
        <v>63</v>
      </c>
      <c r="T67" s="25">
        <f t="shared" si="19"/>
        <v>6.883741258741259E-3</v>
      </c>
      <c r="U67" s="28" t="str">
        <f t="shared" si="21"/>
        <v>SI</v>
      </c>
      <c r="V67" s="29">
        <f t="shared" si="22"/>
        <v>4.3580952380952374</v>
      </c>
      <c r="W67" s="20"/>
    </row>
    <row r="68" spans="1:23" x14ac:dyDescent="0.25">
      <c r="A68" s="97"/>
      <c r="B68" s="35" t="s">
        <v>149</v>
      </c>
      <c r="C68" s="2">
        <v>31</v>
      </c>
      <c r="D68" s="12"/>
      <c r="E68" s="2">
        <v>1000</v>
      </c>
      <c r="F68" s="2">
        <v>43</v>
      </c>
      <c r="G68" s="16">
        <f>$C68*$H$3*'ASTM D638-Probetas'!B$6</f>
        <v>1612</v>
      </c>
      <c r="H68" s="16">
        <f>$C68*$H$3*'ASTM D638-Probetas'!C$6</f>
        <v>744</v>
      </c>
      <c r="I68" s="16">
        <f>$C68*$H$3*'ASTM D638-Probetas'!D$6</f>
        <v>4123</v>
      </c>
      <c r="J68" s="45">
        <f t="shared" si="13"/>
        <v>21.5</v>
      </c>
      <c r="K68" s="60">
        <f t="shared" si="14"/>
        <v>3.2766000000000002</v>
      </c>
      <c r="L68" s="26">
        <f t="shared" si="8"/>
        <v>0.32765999999999995</v>
      </c>
      <c r="M68" s="65">
        <f t="shared" si="9"/>
        <v>3.2766000000000003E-2</v>
      </c>
      <c r="N68" s="60">
        <f t="shared" si="15"/>
        <v>4.3</v>
      </c>
      <c r="O68" s="26">
        <f t="shared" si="16"/>
        <v>0.43</v>
      </c>
      <c r="P68" s="61">
        <f t="shared" si="10"/>
        <v>4.2999999999999997E-2</v>
      </c>
      <c r="Q68" s="58">
        <f t="shared" si="17"/>
        <v>0.215</v>
      </c>
      <c r="R68" s="26">
        <f t="shared" si="20"/>
        <v>71.5</v>
      </c>
      <c r="S68" s="27">
        <f t="shared" si="18"/>
        <v>81.5</v>
      </c>
      <c r="T68" s="25">
        <f t="shared" si="19"/>
        <v>8.9051573426573421E-3</v>
      </c>
      <c r="U68" s="28" t="str">
        <f t="shared" si="21"/>
        <v>SI</v>
      </c>
      <c r="V68" s="29">
        <f t="shared" si="22"/>
        <v>24.143312883435584</v>
      </c>
      <c r="W68" s="20"/>
    </row>
    <row r="69" spans="1:23" x14ac:dyDescent="0.25">
      <c r="A69" s="91" t="s">
        <v>87</v>
      </c>
      <c r="B69" s="35" t="s">
        <v>46</v>
      </c>
      <c r="C69" s="3">
        <v>39</v>
      </c>
      <c r="D69" s="14"/>
      <c r="E69" s="3">
        <v>1618.5</v>
      </c>
      <c r="F69" s="3">
        <v>4.8</v>
      </c>
      <c r="G69" s="16">
        <f>$C69*$H$3*'ASTM D638-Probetas'!B$6</f>
        <v>2028</v>
      </c>
      <c r="H69" s="16">
        <f>$C69*$H$3*'ASTM D638-Probetas'!C$6</f>
        <v>936</v>
      </c>
      <c r="I69" s="16">
        <f>$C69*$H$3*'ASTM D638-Probetas'!D$6</f>
        <v>5187</v>
      </c>
      <c r="J69" s="45">
        <f t="shared" si="13"/>
        <v>2.4</v>
      </c>
      <c r="K69" s="60">
        <f t="shared" si="14"/>
        <v>0.36576000000000003</v>
      </c>
      <c r="L69" s="26">
        <f t="shared" si="8"/>
        <v>3.6575999999999997E-2</v>
      </c>
      <c r="M69" s="65">
        <f t="shared" si="9"/>
        <v>3.6576E-3</v>
      </c>
      <c r="N69" s="60">
        <f t="shared" si="15"/>
        <v>0.48</v>
      </c>
      <c r="O69" s="26">
        <f t="shared" si="16"/>
        <v>4.8000000000000001E-2</v>
      </c>
      <c r="P69" s="61">
        <f t="shared" si="10"/>
        <v>4.7999999999999996E-3</v>
      </c>
      <c r="Q69" s="58">
        <f t="shared" si="17"/>
        <v>2.4E-2</v>
      </c>
      <c r="R69" s="26">
        <f t="shared" si="20"/>
        <v>52.4</v>
      </c>
      <c r="S69" s="27">
        <f t="shared" si="18"/>
        <v>62.4</v>
      </c>
      <c r="T69" s="25">
        <f t="shared" si="19"/>
        <v>6.8181818181818179E-3</v>
      </c>
      <c r="U69" s="28" t="str">
        <f t="shared" si="21"/>
        <v>SI</v>
      </c>
      <c r="V69" s="29">
        <f t="shared" si="22"/>
        <v>3.5200000000000005</v>
      </c>
      <c r="W69" s="20"/>
    </row>
    <row r="70" spans="1:23" x14ac:dyDescent="0.25">
      <c r="A70" s="91"/>
      <c r="B70" s="35" t="s">
        <v>88</v>
      </c>
      <c r="C70" s="2">
        <v>35.200000000000003</v>
      </c>
      <c r="D70" s="12"/>
      <c r="E70" s="2">
        <v>1128.5</v>
      </c>
      <c r="F70" s="2">
        <v>6.6</v>
      </c>
      <c r="G70" s="16">
        <f>$C70*$H$3*'ASTM D638-Probetas'!B$6</f>
        <v>1830.4</v>
      </c>
      <c r="H70" s="16">
        <f>$C70*$H$3*'ASTM D638-Probetas'!C$6</f>
        <v>844.80000000000007</v>
      </c>
      <c r="I70" s="16">
        <f>$C70*$H$3*'ASTM D638-Probetas'!D$6</f>
        <v>4681.6000000000004</v>
      </c>
      <c r="J70" s="45">
        <f t="shared" si="13"/>
        <v>3.3000000000000003</v>
      </c>
      <c r="K70" s="60">
        <f t="shared" si="14"/>
        <v>0.50292000000000003</v>
      </c>
      <c r="L70" s="26">
        <f t="shared" si="8"/>
        <v>5.0292000000000003E-2</v>
      </c>
      <c r="M70" s="65">
        <f t="shared" si="9"/>
        <v>5.0292000000000002E-3</v>
      </c>
      <c r="N70" s="60">
        <f t="shared" si="15"/>
        <v>0.66</v>
      </c>
      <c r="O70" s="26">
        <f t="shared" si="16"/>
        <v>6.6000000000000003E-2</v>
      </c>
      <c r="P70" s="61">
        <f t="shared" si="10"/>
        <v>6.6000000000000008E-3</v>
      </c>
      <c r="Q70" s="58">
        <f t="shared" si="17"/>
        <v>3.3000000000000002E-2</v>
      </c>
      <c r="R70" s="26">
        <f t="shared" si="20"/>
        <v>53.3</v>
      </c>
      <c r="S70" s="27">
        <f t="shared" si="18"/>
        <v>63.3</v>
      </c>
      <c r="T70" s="25">
        <f t="shared" si="19"/>
        <v>6.9165209790209787E-3</v>
      </c>
      <c r="U70" s="28" t="str">
        <f t="shared" si="21"/>
        <v>SI</v>
      </c>
      <c r="V70" s="29">
        <f t="shared" si="22"/>
        <v>4.7711848341232228</v>
      </c>
      <c r="W70" s="20"/>
    </row>
    <row r="71" spans="1:23" x14ac:dyDescent="0.25">
      <c r="A71" s="91"/>
      <c r="B71" s="35" t="s">
        <v>89</v>
      </c>
      <c r="C71" s="3">
        <v>34.4</v>
      </c>
      <c r="D71" s="14"/>
      <c r="E71" s="3">
        <v>579</v>
      </c>
      <c r="F71" s="3">
        <v>210</v>
      </c>
      <c r="G71" s="16">
        <f>$C71*$H$3*'ASTM D638-Probetas'!B$6</f>
        <v>1788.8</v>
      </c>
      <c r="H71" s="16">
        <f>$C71*$H$3*'ASTM D638-Probetas'!C$6</f>
        <v>825.59999999999991</v>
      </c>
      <c r="I71" s="16">
        <f>$C71*$H$3*'ASTM D638-Probetas'!D$6</f>
        <v>4575.2</v>
      </c>
      <c r="J71" s="45">
        <f t="shared" si="13"/>
        <v>105</v>
      </c>
      <c r="K71" s="60">
        <f t="shared" si="14"/>
        <v>16.002000000000002</v>
      </c>
      <c r="L71" s="26">
        <f t="shared" si="8"/>
        <v>1.6002000000000001</v>
      </c>
      <c r="M71" s="65">
        <f t="shared" si="9"/>
        <v>0.16002000000000002</v>
      </c>
      <c r="N71" s="60">
        <f t="shared" si="15"/>
        <v>21</v>
      </c>
      <c r="O71" s="26">
        <f t="shared" si="16"/>
        <v>2.1</v>
      </c>
      <c r="P71" s="61">
        <f t="shared" si="10"/>
        <v>0.21</v>
      </c>
      <c r="Q71" s="58">
        <f t="shared" si="17"/>
        <v>1.05</v>
      </c>
      <c r="R71" s="26">
        <f t="shared" si="20"/>
        <v>155</v>
      </c>
      <c r="S71" s="27">
        <f t="shared" si="18"/>
        <v>165</v>
      </c>
      <c r="T71" s="25">
        <f t="shared" si="19"/>
        <v>1.8028846153846152E-2</v>
      </c>
      <c r="U71" s="28" t="str">
        <f t="shared" si="21"/>
        <v>SI</v>
      </c>
      <c r="V71" s="29">
        <f t="shared" si="22"/>
        <v>58.240000000000009</v>
      </c>
      <c r="W71" s="20"/>
    </row>
    <row r="72" spans="1:23" x14ac:dyDescent="0.25">
      <c r="A72" s="91"/>
      <c r="B72" s="35" t="s">
        <v>55</v>
      </c>
      <c r="C72" s="3">
        <v>76.400000000000006</v>
      </c>
      <c r="D72" s="14"/>
      <c r="E72" s="3">
        <v>2134</v>
      </c>
      <c r="F72" s="3">
        <v>6.4</v>
      </c>
      <c r="G72" s="16">
        <f>$C72*$H$3*'ASTM D638-Probetas'!B$6</f>
        <v>3972.8</v>
      </c>
      <c r="H72" s="16">
        <f>$C72*$H$3*'ASTM D638-Probetas'!C$6</f>
        <v>1833.6000000000001</v>
      </c>
      <c r="I72" s="16">
        <f>$C72*$H$3*'ASTM D638-Probetas'!D$6</f>
        <v>10161.200000000001</v>
      </c>
      <c r="J72" s="45">
        <f t="shared" ref="J72:J107" si="23">F72/100*50</f>
        <v>3.2</v>
      </c>
      <c r="K72" s="60">
        <f t="shared" ref="K72:K103" si="24">J72/1/50*7.62</f>
        <v>0.48768</v>
      </c>
      <c r="L72" s="26">
        <f t="shared" si="8"/>
        <v>4.8768000000000006E-2</v>
      </c>
      <c r="M72" s="65">
        <f t="shared" si="9"/>
        <v>4.8768000000000006E-3</v>
      </c>
      <c r="N72" s="60">
        <f t="shared" ref="N72:N107" si="25">J72/5</f>
        <v>0.64</v>
      </c>
      <c r="O72" s="26">
        <f t="shared" ref="O72:O107" si="26">J72/50</f>
        <v>6.4000000000000001E-2</v>
      </c>
      <c r="P72" s="61">
        <f t="shared" si="10"/>
        <v>6.4000000000000003E-3</v>
      </c>
      <c r="Q72" s="58">
        <f t="shared" ref="Q72:Q107" si="27">F72*50/100/100</f>
        <v>3.2000000000000001E-2</v>
      </c>
      <c r="R72" s="26">
        <f t="shared" si="20"/>
        <v>53.2</v>
      </c>
      <c r="S72" s="27">
        <f t="shared" ref="S72:S103" si="28">R72+$S$4</f>
        <v>63.2</v>
      </c>
      <c r="T72" s="25">
        <f t="shared" ref="T72:T103" si="29">S72/$T$7</f>
        <v>6.9055944055944063E-3</v>
      </c>
      <c r="U72" s="28" t="str">
        <f t="shared" si="21"/>
        <v>SI</v>
      </c>
      <c r="V72" s="29">
        <f t="shared" si="22"/>
        <v>4.6339240506329107</v>
      </c>
      <c r="W72" s="20"/>
    </row>
    <row r="73" spans="1:23" x14ac:dyDescent="0.25">
      <c r="A73" s="91"/>
      <c r="B73" s="35" t="s">
        <v>90</v>
      </c>
      <c r="C73" s="3">
        <v>37</v>
      </c>
      <c r="D73" s="14"/>
      <c r="E73" s="3">
        <v>1820</v>
      </c>
      <c r="F73" s="3">
        <v>3.1</v>
      </c>
      <c r="G73" s="16">
        <f>$C73*$H$3*'ASTM D638-Probetas'!B$6</f>
        <v>1924</v>
      </c>
      <c r="H73" s="16">
        <f>$C73*$H$3*'ASTM D638-Probetas'!C$6</f>
        <v>888</v>
      </c>
      <c r="I73" s="16">
        <f>$C73*$H$3*'ASTM D638-Probetas'!D$6</f>
        <v>4921</v>
      </c>
      <c r="J73" s="45">
        <f t="shared" si="23"/>
        <v>1.55</v>
      </c>
      <c r="K73" s="60">
        <f t="shared" si="24"/>
        <v>0.23622000000000001</v>
      </c>
      <c r="L73" s="26">
        <f t="shared" ref="L73:L107" si="30">J73/10/50*7.62</f>
        <v>2.3622000000000001E-2</v>
      </c>
      <c r="M73" s="65">
        <f t="shared" ref="M73:M107" si="31">J73/100/50*7.62</f>
        <v>2.3622000000000001E-3</v>
      </c>
      <c r="N73" s="67">
        <f t="shared" si="25"/>
        <v>0.31</v>
      </c>
      <c r="O73" s="26">
        <f t="shared" si="26"/>
        <v>3.1E-2</v>
      </c>
      <c r="P73" s="61">
        <f t="shared" ref="P73:P107" si="32">J73/500</f>
        <v>3.0999999999999999E-3</v>
      </c>
      <c r="Q73" s="58">
        <f t="shared" si="27"/>
        <v>1.55E-2</v>
      </c>
      <c r="R73" s="26">
        <f t="shared" si="20"/>
        <v>51.55</v>
      </c>
      <c r="S73" s="27">
        <f t="shared" si="28"/>
        <v>61.55</v>
      </c>
      <c r="T73" s="25">
        <f t="shared" si="29"/>
        <v>6.7253059440559437E-3</v>
      </c>
      <c r="U73" s="28" t="str">
        <f t="shared" si="21"/>
        <v>SI</v>
      </c>
      <c r="V73" s="29">
        <f t="shared" si="22"/>
        <v>2.304727863525589</v>
      </c>
      <c r="W73" s="20"/>
    </row>
    <row r="74" spans="1:23" x14ac:dyDescent="0.25">
      <c r="A74" s="98" t="s">
        <v>148</v>
      </c>
      <c r="B74" s="35" t="s">
        <v>137</v>
      </c>
      <c r="C74" s="3">
        <v>36</v>
      </c>
      <c r="D74" s="14" t="s">
        <v>135</v>
      </c>
      <c r="E74" s="3">
        <v>3160</v>
      </c>
      <c r="F74" s="3">
        <v>6.3</v>
      </c>
      <c r="G74" s="16">
        <f>$C74*$H$3*'ASTM D638-Probetas'!B$6</f>
        <v>1872</v>
      </c>
      <c r="H74" s="16">
        <f>$C74*$H$3*'ASTM D638-Probetas'!C$6</f>
        <v>864</v>
      </c>
      <c r="I74" s="16">
        <f>$C74*$H$3*'ASTM D638-Probetas'!D$6</f>
        <v>4788</v>
      </c>
      <c r="J74" s="45">
        <f t="shared" si="23"/>
        <v>3.15</v>
      </c>
      <c r="K74" s="60">
        <f t="shared" si="24"/>
        <v>0.48005999999999999</v>
      </c>
      <c r="L74" s="26">
        <f t="shared" si="30"/>
        <v>4.8006E-2</v>
      </c>
      <c r="M74" s="65">
        <f t="shared" si="31"/>
        <v>4.8006000000000004E-3</v>
      </c>
      <c r="N74" s="60">
        <f t="shared" si="25"/>
        <v>0.63</v>
      </c>
      <c r="O74" s="26">
        <f t="shared" si="26"/>
        <v>6.3E-2</v>
      </c>
      <c r="P74" s="61">
        <f t="shared" si="32"/>
        <v>6.3E-3</v>
      </c>
      <c r="Q74" s="58">
        <f t="shared" si="27"/>
        <v>3.15E-2</v>
      </c>
      <c r="R74" s="26">
        <f t="shared" ref="R74:R107" si="33">50+J74</f>
        <v>53.15</v>
      </c>
      <c r="S74" s="27">
        <f t="shared" si="28"/>
        <v>63.15</v>
      </c>
      <c r="T74" s="25">
        <f t="shared" si="29"/>
        <v>6.9001311188811188E-3</v>
      </c>
      <c r="U74" s="28" t="str">
        <f t="shared" si="7"/>
        <v>SI</v>
      </c>
      <c r="V74" s="29">
        <f t="shared" si="12"/>
        <v>4.5651306413301667</v>
      </c>
      <c r="W74" s="20"/>
    </row>
    <row r="75" spans="1:23" x14ac:dyDescent="0.25">
      <c r="A75" s="98"/>
      <c r="B75" s="35" t="s">
        <v>138</v>
      </c>
      <c r="C75" s="3">
        <v>102</v>
      </c>
      <c r="D75" s="14" t="s">
        <v>135</v>
      </c>
      <c r="E75" s="3">
        <v>4430</v>
      </c>
      <c r="F75" s="3">
        <v>5.8</v>
      </c>
      <c r="G75" s="16">
        <f>$C75*$H$3*'ASTM D638-Probetas'!B$6</f>
        <v>5304</v>
      </c>
      <c r="H75" s="16">
        <f>$C75*$H$3*'ASTM D638-Probetas'!C$6</f>
        <v>2448</v>
      </c>
      <c r="I75" s="16">
        <f>$C75*$H$3*'ASTM D638-Probetas'!D$6</f>
        <v>13566</v>
      </c>
      <c r="J75" s="45">
        <f t="shared" si="23"/>
        <v>2.9</v>
      </c>
      <c r="K75" s="60">
        <f t="shared" si="24"/>
        <v>0.44195999999999996</v>
      </c>
      <c r="L75" s="26">
        <f t="shared" si="30"/>
        <v>4.4195999999999999E-2</v>
      </c>
      <c r="M75" s="65">
        <f t="shared" si="31"/>
        <v>4.4196000000000001E-3</v>
      </c>
      <c r="N75" s="60">
        <f t="shared" si="25"/>
        <v>0.57999999999999996</v>
      </c>
      <c r="O75" s="26">
        <f t="shared" si="26"/>
        <v>5.7999999999999996E-2</v>
      </c>
      <c r="P75" s="61">
        <f t="shared" si="32"/>
        <v>5.7999999999999996E-3</v>
      </c>
      <c r="Q75" s="58">
        <f t="shared" si="27"/>
        <v>2.8999999999999998E-2</v>
      </c>
      <c r="R75" s="26">
        <f t="shared" si="33"/>
        <v>52.9</v>
      </c>
      <c r="S75" s="27">
        <f t="shared" si="28"/>
        <v>62.9</v>
      </c>
      <c r="T75" s="25">
        <f t="shared" si="29"/>
        <v>6.8728146853146849E-3</v>
      </c>
      <c r="U75" s="28" t="str">
        <f t="shared" si="7"/>
        <v>SI</v>
      </c>
      <c r="V75" s="29">
        <f t="shared" si="12"/>
        <v>4.2195230524642291</v>
      </c>
      <c r="W75" s="20"/>
    </row>
    <row r="76" spans="1:23" x14ac:dyDescent="0.25">
      <c r="A76" s="98"/>
      <c r="B76" s="35" t="s">
        <v>136</v>
      </c>
      <c r="C76" s="3">
        <v>75</v>
      </c>
      <c r="D76" s="14" t="s">
        <v>135</v>
      </c>
      <c r="E76" s="3">
        <v>2850</v>
      </c>
      <c r="F76" s="3">
        <v>3.9</v>
      </c>
      <c r="G76" s="16">
        <f>$C76*$H$3*'ASTM D638-Probetas'!B$6</f>
        <v>3900</v>
      </c>
      <c r="H76" s="16">
        <f>$C76*$H$3*'ASTM D638-Probetas'!C$6</f>
        <v>1800</v>
      </c>
      <c r="I76" s="16">
        <f>$C76*$H$3*'ASTM D638-Probetas'!D$6</f>
        <v>9975</v>
      </c>
      <c r="J76" s="45">
        <f t="shared" si="23"/>
        <v>1.95</v>
      </c>
      <c r="K76" s="60">
        <f t="shared" si="24"/>
        <v>0.29718</v>
      </c>
      <c r="L76" s="26">
        <f t="shared" si="30"/>
        <v>2.9718000000000001E-2</v>
      </c>
      <c r="M76" s="65">
        <f t="shared" si="31"/>
        <v>2.9718000000000001E-3</v>
      </c>
      <c r="N76" s="60">
        <f t="shared" si="25"/>
        <v>0.39</v>
      </c>
      <c r="O76" s="26">
        <f t="shared" si="26"/>
        <v>3.9E-2</v>
      </c>
      <c r="P76" s="61">
        <f t="shared" si="32"/>
        <v>3.8999999999999998E-3</v>
      </c>
      <c r="Q76" s="58">
        <f t="shared" si="27"/>
        <v>1.95E-2</v>
      </c>
      <c r="R76" s="26">
        <f t="shared" si="33"/>
        <v>51.95</v>
      </c>
      <c r="S76" s="27">
        <f t="shared" si="28"/>
        <v>61.95</v>
      </c>
      <c r="T76" s="25">
        <f t="shared" si="29"/>
        <v>6.7690122377622383E-3</v>
      </c>
      <c r="U76" s="28" t="str">
        <f t="shared" si="7"/>
        <v>SI</v>
      </c>
      <c r="V76" s="29">
        <f t="shared" si="12"/>
        <v>2.8807748184019366</v>
      </c>
      <c r="W76" s="20"/>
    </row>
    <row r="77" spans="1:23" x14ac:dyDescent="0.25">
      <c r="A77" s="98"/>
      <c r="B77" s="35" t="s">
        <v>139</v>
      </c>
      <c r="C77" s="3">
        <v>92</v>
      </c>
      <c r="D77" s="14" t="s">
        <v>135</v>
      </c>
      <c r="E77" s="3">
        <v>3860</v>
      </c>
      <c r="F77" s="3">
        <v>8.4</v>
      </c>
      <c r="G77" s="16">
        <f>$C77*$H$3*'ASTM D638-Probetas'!B$6</f>
        <v>4784</v>
      </c>
      <c r="H77" s="16">
        <f>$C77*$H$3*'ASTM D638-Probetas'!C$6</f>
        <v>2208</v>
      </c>
      <c r="I77" s="16">
        <f>$C77*$H$3*'ASTM D638-Probetas'!D$6</f>
        <v>12236</v>
      </c>
      <c r="J77" s="45">
        <f t="shared" si="23"/>
        <v>4.2</v>
      </c>
      <c r="K77" s="60">
        <f t="shared" si="24"/>
        <v>0.64008000000000009</v>
      </c>
      <c r="L77" s="26">
        <f t="shared" si="30"/>
        <v>6.4008000000000009E-2</v>
      </c>
      <c r="M77" s="65">
        <f t="shared" si="31"/>
        <v>6.4008000000000008E-3</v>
      </c>
      <c r="N77" s="60">
        <f t="shared" si="25"/>
        <v>0.84000000000000008</v>
      </c>
      <c r="O77" s="26">
        <f t="shared" si="26"/>
        <v>8.4000000000000005E-2</v>
      </c>
      <c r="P77" s="61">
        <f t="shared" si="32"/>
        <v>8.4000000000000012E-3</v>
      </c>
      <c r="Q77" s="58">
        <f t="shared" si="27"/>
        <v>4.2000000000000003E-2</v>
      </c>
      <c r="R77" s="26">
        <f t="shared" si="33"/>
        <v>54.2</v>
      </c>
      <c r="S77" s="27">
        <f t="shared" si="28"/>
        <v>64.2</v>
      </c>
      <c r="T77" s="25">
        <f t="shared" si="29"/>
        <v>7.0148601398601403E-3</v>
      </c>
      <c r="U77" s="28" t="str">
        <f t="shared" si="7"/>
        <v>SI</v>
      </c>
      <c r="V77" s="29">
        <f t="shared" si="12"/>
        <v>5.9872897196261681</v>
      </c>
      <c r="W77" s="20"/>
    </row>
    <row r="78" spans="1:23" x14ac:dyDescent="0.25">
      <c r="A78" s="98"/>
      <c r="B78" s="35" t="s">
        <v>140</v>
      </c>
      <c r="C78" s="3">
        <v>74</v>
      </c>
      <c r="D78" s="14" t="s">
        <v>135</v>
      </c>
      <c r="E78" s="3">
        <v>4730</v>
      </c>
      <c r="F78" s="3">
        <v>4.5</v>
      </c>
      <c r="G78" s="16">
        <f>$C78*$H$3*'ASTM D638-Probetas'!B$6</f>
        <v>3848</v>
      </c>
      <c r="H78" s="16">
        <f>$C78*$H$3*'ASTM D638-Probetas'!C$6</f>
        <v>1776</v>
      </c>
      <c r="I78" s="16">
        <f>$C78*$H$3*'ASTM D638-Probetas'!D$6</f>
        <v>9842</v>
      </c>
      <c r="J78" s="45">
        <f t="shared" si="23"/>
        <v>2.25</v>
      </c>
      <c r="K78" s="60">
        <f t="shared" si="24"/>
        <v>0.34289999999999998</v>
      </c>
      <c r="L78" s="26">
        <f t="shared" si="30"/>
        <v>3.4290000000000001E-2</v>
      </c>
      <c r="M78" s="65">
        <f t="shared" si="31"/>
        <v>3.4289999999999998E-3</v>
      </c>
      <c r="N78" s="60">
        <f t="shared" si="25"/>
        <v>0.45</v>
      </c>
      <c r="O78" s="26">
        <f t="shared" si="26"/>
        <v>4.4999999999999998E-2</v>
      </c>
      <c r="P78" s="61">
        <f t="shared" si="32"/>
        <v>4.4999999999999997E-3</v>
      </c>
      <c r="Q78" s="58">
        <f t="shared" si="27"/>
        <v>2.2499999999999999E-2</v>
      </c>
      <c r="R78" s="26">
        <f t="shared" si="33"/>
        <v>52.25</v>
      </c>
      <c r="S78" s="27">
        <f t="shared" si="28"/>
        <v>62.25</v>
      </c>
      <c r="T78" s="25">
        <f t="shared" si="29"/>
        <v>6.801791958041958E-3</v>
      </c>
      <c r="U78" s="28" t="str">
        <f t="shared" si="7"/>
        <v>SI</v>
      </c>
      <c r="V78" s="29">
        <f t="shared" si="12"/>
        <v>3.3079518072289154</v>
      </c>
      <c r="W78" s="20"/>
    </row>
    <row r="79" spans="1:23" x14ac:dyDescent="0.25">
      <c r="A79" s="98"/>
      <c r="B79" s="35" t="s">
        <v>141</v>
      </c>
      <c r="C79" s="3">
        <v>87</v>
      </c>
      <c r="D79" s="14" t="s">
        <v>135</v>
      </c>
      <c r="E79" s="3">
        <v>8230</v>
      </c>
      <c r="F79" s="3">
        <v>1.2</v>
      </c>
      <c r="G79" s="16">
        <f>$C79*$H$3*'ASTM D638-Probetas'!B$6</f>
        <v>4524</v>
      </c>
      <c r="H79" s="16">
        <f>$C79*$H$3*'ASTM D638-Probetas'!C$6</f>
        <v>2088</v>
      </c>
      <c r="I79" s="16">
        <f>$C79*$H$3*'ASTM D638-Probetas'!D$6</f>
        <v>11571</v>
      </c>
      <c r="J79" s="45">
        <f t="shared" si="23"/>
        <v>0.6</v>
      </c>
      <c r="K79" s="60">
        <f t="shared" si="24"/>
        <v>9.1440000000000007E-2</v>
      </c>
      <c r="L79" s="26">
        <f t="shared" si="30"/>
        <v>9.1439999999999994E-3</v>
      </c>
      <c r="M79" s="65">
        <f t="shared" si="31"/>
        <v>9.144E-4</v>
      </c>
      <c r="N79" s="67">
        <f t="shared" si="25"/>
        <v>0.12</v>
      </c>
      <c r="O79" s="26">
        <f t="shared" si="26"/>
        <v>1.2E-2</v>
      </c>
      <c r="P79" s="61">
        <f t="shared" si="32"/>
        <v>1.1999999999999999E-3</v>
      </c>
      <c r="Q79" s="58">
        <f t="shared" si="27"/>
        <v>6.0000000000000001E-3</v>
      </c>
      <c r="R79" s="26">
        <f t="shared" si="33"/>
        <v>50.6</v>
      </c>
      <c r="S79" s="27">
        <f t="shared" si="28"/>
        <v>60.6</v>
      </c>
      <c r="T79" s="25">
        <f t="shared" si="29"/>
        <v>6.6215034965034962E-3</v>
      </c>
      <c r="U79" s="28" t="str">
        <f t="shared" si="7"/>
        <v>NO</v>
      </c>
      <c r="V79" s="29">
        <f t="shared" si="12"/>
        <v>0.90613861386138617</v>
      </c>
      <c r="W79" s="20"/>
    </row>
    <row r="80" spans="1:23" x14ac:dyDescent="0.25">
      <c r="A80" s="98"/>
      <c r="B80" s="35" t="s">
        <v>142</v>
      </c>
      <c r="C80" s="3">
        <v>34</v>
      </c>
      <c r="D80" s="14" t="s">
        <v>135</v>
      </c>
      <c r="E80" s="3">
        <v>4200</v>
      </c>
      <c r="F80" s="3">
        <v>9.6</v>
      </c>
      <c r="G80" s="16">
        <f>$C80*$H$3*'ASTM D638-Probetas'!B$6</f>
        <v>1768</v>
      </c>
      <c r="H80" s="16">
        <f>$C80*$H$3*'ASTM D638-Probetas'!C$6</f>
        <v>816</v>
      </c>
      <c r="I80" s="16">
        <f>$C80*$H$3*'ASTM D638-Probetas'!D$6</f>
        <v>4522</v>
      </c>
      <c r="J80" s="45">
        <f t="shared" si="23"/>
        <v>4.8</v>
      </c>
      <c r="K80" s="60">
        <f t="shared" si="24"/>
        <v>0.73152000000000006</v>
      </c>
      <c r="L80" s="26">
        <f t="shared" si="30"/>
        <v>7.3151999999999995E-2</v>
      </c>
      <c r="M80" s="65">
        <f t="shared" si="31"/>
        <v>7.3152E-3</v>
      </c>
      <c r="N80" s="60">
        <f t="shared" si="25"/>
        <v>0.96</v>
      </c>
      <c r="O80" s="26">
        <f t="shared" si="26"/>
        <v>9.6000000000000002E-2</v>
      </c>
      <c r="P80" s="61">
        <f t="shared" si="32"/>
        <v>9.5999999999999992E-3</v>
      </c>
      <c r="Q80" s="58">
        <f t="shared" si="27"/>
        <v>4.8000000000000001E-2</v>
      </c>
      <c r="R80" s="26">
        <f t="shared" si="33"/>
        <v>54.8</v>
      </c>
      <c r="S80" s="27">
        <f t="shared" si="28"/>
        <v>64.8</v>
      </c>
      <c r="T80" s="25">
        <f t="shared" si="29"/>
        <v>7.0804195804195797E-3</v>
      </c>
      <c r="U80" s="28" t="str">
        <f t="shared" si="7"/>
        <v>SI</v>
      </c>
      <c r="V80" s="29">
        <f t="shared" si="12"/>
        <v>6.77925925925926</v>
      </c>
      <c r="W80" s="20"/>
    </row>
    <row r="81" spans="1:23" x14ac:dyDescent="0.25">
      <c r="A81" s="98"/>
      <c r="B81" s="35" t="s">
        <v>143</v>
      </c>
      <c r="C81" s="3">
        <v>168</v>
      </c>
      <c r="D81" s="14" t="s">
        <v>135</v>
      </c>
      <c r="E81" s="3">
        <v>11800</v>
      </c>
      <c r="F81" s="3">
        <v>3.2</v>
      </c>
      <c r="G81" s="16">
        <f>$C81*$H$3*'ASTM D638-Probetas'!B$6</f>
        <v>8736</v>
      </c>
      <c r="H81" s="16">
        <f>$C81*$H$3*'ASTM D638-Probetas'!C$6</f>
        <v>4032</v>
      </c>
      <c r="I81" s="16">
        <f>$C81*$H$3*'ASTM D638-Probetas'!D$6</f>
        <v>22344</v>
      </c>
      <c r="J81" s="45">
        <f t="shared" si="23"/>
        <v>1.6</v>
      </c>
      <c r="K81" s="60">
        <f t="shared" si="24"/>
        <v>0.24384</v>
      </c>
      <c r="L81" s="26">
        <f t="shared" si="30"/>
        <v>2.4384000000000003E-2</v>
      </c>
      <c r="M81" s="65">
        <f t="shared" si="31"/>
        <v>2.4384000000000003E-3</v>
      </c>
      <c r="N81" s="67">
        <f t="shared" si="25"/>
        <v>0.32</v>
      </c>
      <c r="O81" s="26">
        <f t="shared" si="26"/>
        <v>3.2000000000000001E-2</v>
      </c>
      <c r="P81" s="61">
        <f t="shared" si="32"/>
        <v>3.2000000000000002E-3</v>
      </c>
      <c r="Q81" s="58">
        <f t="shared" si="27"/>
        <v>1.6E-2</v>
      </c>
      <c r="R81" s="26">
        <f t="shared" si="33"/>
        <v>51.6</v>
      </c>
      <c r="S81" s="27">
        <f t="shared" si="28"/>
        <v>61.6</v>
      </c>
      <c r="T81" s="25">
        <f t="shared" si="29"/>
        <v>6.7307692307692311E-3</v>
      </c>
      <c r="U81" s="28" t="str">
        <f t="shared" si="7"/>
        <v>SI</v>
      </c>
      <c r="V81" s="29">
        <f t="shared" si="12"/>
        <v>2.3771428571428572</v>
      </c>
      <c r="W81" s="20"/>
    </row>
    <row r="82" spans="1:23" x14ac:dyDescent="0.25">
      <c r="A82" s="98"/>
      <c r="B82" s="35" t="s">
        <v>144</v>
      </c>
      <c r="C82" s="3">
        <v>60</v>
      </c>
      <c r="D82" s="14" t="s">
        <v>135</v>
      </c>
      <c r="E82" s="3">
        <v>1670</v>
      </c>
      <c r="F82" s="3">
        <v>2.4</v>
      </c>
      <c r="G82" s="16">
        <f>$C82*$H$3*'ASTM D638-Probetas'!B$6</f>
        <v>3120</v>
      </c>
      <c r="H82" s="16">
        <f>$C82*$H$3*'ASTM D638-Probetas'!C$6</f>
        <v>1440</v>
      </c>
      <c r="I82" s="16">
        <f>$C82*$H$3*'ASTM D638-Probetas'!D$6</f>
        <v>7980</v>
      </c>
      <c r="J82" s="45">
        <f t="shared" si="23"/>
        <v>1.2</v>
      </c>
      <c r="K82" s="60">
        <f t="shared" si="24"/>
        <v>0.18288000000000001</v>
      </c>
      <c r="L82" s="26">
        <f t="shared" si="30"/>
        <v>1.8287999999999999E-2</v>
      </c>
      <c r="M82" s="65">
        <f t="shared" si="31"/>
        <v>1.8288E-3</v>
      </c>
      <c r="N82" s="67">
        <f t="shared" si="25"/>
        <v>0.24</v>
      </c>
      <c r="O82" s="26">
        <f t="shared" si="26"/>
        <v>2.4E-2</v>
      </c>
      <c r="P82" s="61">
        <f t="shared" si="32"/>
        <v>2.3999999999999998E-3</v>
      </c>
      <c r="Q82" s="58">
        <f t="shared" si="27"/>
        <v>1.2E-2</v>
      </c>
      <c r="R82" s="26">
        <f t="shared" si="33"/>
        <v>51.2</v>
      </c>
      <c r="S82" s="27">
        <f t="shared" si="28"/>
        <v>61.2</v>
      </c>
      <c r="T82" s="25">
        <f t="shared" si="29"/>
        <v>6.6870629370629374E-3</v>
      </c>
      <c r="U82" s="28" t="str">
        <f t="shared" si="7"/>
        <v>SI</v>
      </c>
      <c r="V82" s="29">
        <f t="shared" si="12"/>
        <v>1.7945098039215686</v>
      </c>
      <c r="W82" s="20"/>
    </row>
    <row r="83" spans="1:23" x14ac:dyDescent="0.25">
      <c r="A83" s="98"/>
      <c r="B83" s="35" t="s">
        <v>55</v>
      </c>
      <c r="C83" s="3">
        <v>62</v>
      </c>
      <c r="D83" s="14" t="s">
        <v>135</v>
      </c>
      <c r="E83" s="3">
        <v>2110</v>
      </c>
      <c r="F83" s="3">
        <v>3.8</v>
      </c>
      <c r="G83" s="16">
        <f>$C83*$H$3*'ASTM D638-Probetas'!B$6</f>
        <v>3224</v>
      </c>
      <c r="H83" s="16">
        <f>$C83*$H$3*'ASTM D638-Probetas'!C$6</f>
        <v>1488</v>
      </c>
      <c r="I83" s="16">
        <f>$C83*$H$3*'ASTM D638-Probetas'!D$6</f>
        <v>8246</v>
      </c>
      <c r="J83" s="45">
        <f t="shared" si="23"/>
        <v>1.9</v>
      </c>
      <c r="K83" s="60">
        <f t="shared" si="24"/>
        <v>0.28955999999999998</v>
      </c>
      <c r="L83" s="26">
        <f t="shared" si="30"/>
        <v>2.8955999999999999E-2</v>
      </c>
      <c r="M83" s="65">
        <f t="shared" si="31"/>
        <v>2.8955999999999999E-3</v>
      </c>
      <c r="N83" s="60">
        <f t="shared" si="25"/>
        <v>0.38</v>
      </c>
      <c r="O83" s="26">
        <f t="shared" si="26"/>
        <v>3.7999999999999999E-2</v>
      </c>
      <c r="P83" s="61">
        <f t="shared" si="32"/>
        <v>3.8E-3</v>
      </c>
      <c r="Q83" s="58">
        <f t="shared" si="27"/>
        <v>1.9E-2</v>
      </c>
      <c r="R83" s="26">
        <f t="shared" si="33"/>
        <v>51.9</v>
      </c>
      <c r="S83" s="27">
        <f t="shared" si="28"/>
        <v>61.9</v>
      </c>
      <c r="T83" s="25">
        <f t="shared" si="29"/>
        <v>6.7635489510489508E-3</v>
      </c>
      <c r="U83" s="28" t="str">
        <f t="shared" si="7"/>
        <v>SI</v>
      </c>
      <c r="V83" s="29">
        <f t="shared" si="12"/>
        <v>2.8091760904684975</v>
      </c>
      <c r="W83" s="20"/>
    </row>
    <row r="84" spans="1:23" x14ac:dyDescent="0.25">
      <c r="A84" s="98"/>
      <c r="B84" s="35" t="s">
        <v>145</v>
      </c>
      <c r="C84" s="3">
        <v>34</v>
      </c>
      <c r="D84" s="14" t="s">
        <v>135</v>
      </c>
      <c r="E84" s="3">
        <v>1810</v>
      </c>
      <c r="F84" s="3">
        <v>8.6</v>
      </c>
      <c r="G84" s="16">
        <f>$C84*$H$3*'ASTM D638-Probetas'!B$6</f>
        <v>1768</v>
      </c>
      <c r="H84" s="16">
        <f>$C84*$H$3*'ASTM D638-Probetas'!C$6</f>
        <v>816</v>
      </c>
      <c r="I84" s="16">
        <f>$C84*$H$3*'ASTM D638-Probetas'!D$6</f>
        <v>4522</v>
      </c>
      <c r="J84" s="45">
        <f t="shared" si="23"/>
        <v>4.3</v>
      </c>
      <c r="K84" s="60">
        <f t="shared" si="24"/>
        <v>0.6553199999999999</v>
      </c>
      <c r="L84" s="26">
        <f t="shared" si="30"/>
        <v>6.5532000000000007E-2</v>
      </c>
      <c r="M84" s="65">
        <f t="shared" si="31"/>
        <v>6.5532000000000003E-3</v>
      </c>
      <c r="N84" s="60">
        <f t="shared" si="25"/>
        <v>0.86</v>
      </c>
      <c r="O84" s="26">
        <f t="shared" si="26"/>
        <v>8.5999999999999993E-2</v>
      </c>
      <c r="P84" s="61">
        <f t="shared" si="32"/>
        <v>8.6E-3</v>
      </c>
      <c r="Q84" s="58">
        <f t="shared" si="27"/>
        <v>4.2999999999999997E-2</v>
      </c>
      <c r="R84" s="26">
        <f t="shared" si="33"/>
        <v>54.3</v>
      </c>
      <c r="S84" s="27">
        <f t="shared" si="28"/>
        <v>64.3</v>
      </c>
      <c r="T84" s="25">
        <f t="shared" si="29"/>
        <v>7.0257867132867127E-3</v>
      </c>
      <c r="U84" s="28" t="str">
        <f t="shared" si="7"/>
        <v>SI</v>
      </c>
      <c r="V84" s="29">
        <f t="shared" si="12"/>
        <v>6.1203110419906688</v>
      </c>
      <c r="W84" s="20"/>
    </row>
    <row r="85" spans="1:23" x14ac:dyDescent="0.25">
      <c r="A85" s="98"/>
      <c r="B85" s="35" t="s">
        <v>146</v>
      </c>
      <c r="C85" s="3">
        <v>35</v>
      </c>
      <c r="D85" s="14" t="s">
        <v>135</v>
      </c>
      <c r="E85" s="3">
        <v>2580</v>
      </c>
      <c r="F85" s="3">
        <v>12.2</v>
      </c>
      <c r="G85" s="16">
        <f>$C85*$H$3*'ASTM D638-Probetas'!B$6</f>
        <v>1820</v>
      </c>
      <c r="H85" s="16">
        <f>$C85*$H$3*'ASTM D638-Probetas'!C$6</f>
        <v>840</v>
      </c>
      <c r="I85" s="16">
        <f>$C85*$H$3*'ASTM D638-Probetas'!D$6</f>
        <v>4655</v>
      </c>
      <c r="J85" s="45">
        <f t="shared" si="23"/>
        <v>6.1</v>
      </c>
      <c r="K85" s="60">
        <f t="shared" si="24"/>
        <v>0.92964000000000002</v>
      </c>
      <c r="L85" s="26">
        <f t="shared" si="30"/>
        <v>9.2963999999999991E-2</v>
      </c>
      <c r="M85" s="65">
        <f t="shared" si="31"/>
        <v>9.2963999999999998E-3</v>
      </c>
      <c r="N85" s="60">
        <f t="shared" si="25"/>
        <v>1.22</v>
      </c>
      <c r="O85" s="26">
        <f t="shared" si="26"/>
        <v>0.122</v>
      </c>
      <c r="P85" s="61">
        <f t="shared" si="32"/>
        <v>1.2199999999999999E-2</v>
      </c>
      <c r="Q85" s="58">
        <f t="shared" si="27"/>
        <v>6.0999999999999999E-2</v>
      </c>
      <c r="R85" s="26">
        <f t="shared" si="33"/>
        <v>56.1</v>
      </c>
      <c r="S85" s="27">
        <f t="shared" si="28"/>
        <v>66.099999999999994</v>
      </c>
      <c r="T85" s="25">
        <f t="shared" si="29"/>
        <v>7.2224650349650343E-3</v>
      </c>
      <c r="U85" s="28" t="str">
        <f t="shared" si="7"/>
        <v>SI</v>
      </c>
      <c r="V85" s="29">
        <f t="shared" si="12"/>
        <v>8.4458698940998485</v>
      </c>
      <c r="W85" s="20"/>
    </row>
    <row r="86" spans="1:23" x14ac:dyDescent="0.25">
      <c r="A86" s="98"/>
      <c r="B86" s="35" t="s">
        <v>147</v>
      </c>
      <c r="C86" s="3">
        <v>38</v>
      </c>
      <c r="D86" s="14" t="s">
        <v>135</v>
      </c>
      <c r="E86" s="3">
        <v>2790</v>
      </c>
      <c r="F86" s="3">
        <v>8.4</v>
      </c>
      <c r="G86" s="16">
        <f>$C86*$H$3*'ASTM D638-Probetas'!B$6</f>
        <v>1976</v>
      </c>
      <c r="H86" s="16">
        <f>$C86*$H$3*'ASTM D638-Probetas'!C$6</f>
        <v>912</v>
      </c>
      <c r="I86" s="16">
        <f>$C86*$H$3*'ASTM D638-Probetas'!D$6</f>
        <v>5054</v>
      </c>
      <c r="J86" s="45">
        <f t="shared" si="23"/>
        <v>4.2</v>
      </c>
      <c r="K86" s="60">
        <f t="shared" si="24"/>
        <v>0.64008000000000009</v>
      </c>
      <c r="L86" s="26">
        <f t="shared" si="30"/>
        <v>6.4008000000000009E-2</v>
      </c>
      <c r="M86" s="65">
        <f t="shared" si="31"/>
        <v>6.4008000000000008E-3</v>
      </c>
      <c r="N86" s="60">
        <f t="shared" si="25"/>
        <v>0.84000000000000008</v>
      </c>
      <c r="O86" s="26">
        <f t="shared" si="26"/>
        <v>8.4000000000000005E-2</v>
      </c>
      <c r="P86" s="61">
        <f t="shared" si="32"/>
        <v>8.4000000000000012E-3</v>
      </c>
      <c r="Q86" s="58">
        <f t="shared" si="27"/>
        <v>4.2000000000000003E-2</v>
      </c>
      <c r="R86" s="26">
        <f t="shared" si="33"/>
        <v>54.2</v>
      </c>
      <c r="S86" s="27">
        <f t="shared" si="28"/>
        <v>64.2</v>
      </c>
      <c r="T86" s="25">
        <f t="shared" si="29"/>
        <v>7.0148601398601403E-3</v>
      </c>
      <c r="U86" s="28" t="str">
        <f t="shared" si="7"/>
        <v>SI</v>
      </c>
      <c r="V86" s="29">
        <f t="shared" si="12"/>
        <v>5.9872897196261681</v>
      </c>
      <c r="W86" s="20"/>
    </row>
    <row r="87" spans="1:23" x14ac:dyDescent="0.25">
      <c r="A87" s="91" t="s">
        <v>91</v>
      </c>
      <c r="B87" s="35" t="s">
        <v>92</v>
      </c>
      <c r="C87" s="2">
        <v>51</v>
      </c>
      <c r="D87" s="12"/>
      <c r="E87" s="2"/>
      <c r="F87" s="2">
        <v>3.31</v>
      </c>
      <c r="G87" s="16">
        <f>$C87*$H$3*'ASTM D638-Probetas'!B$6</f>
        <v>2652</v>
      </c>
      <c r="H87" s="16">
        <f>$C87*$H$3*'ASTM D638-Probetas'!C$6</f>
        <v>1224</v>
      </c>
      <c r="I87" s="16">
        <f>$C87*$H$3*'ASTM D638-Probetas'!D$6</f>
        <v>6783</v>
      </c>
      <c r="J87" s="45">
        <f t="shared" si="23"/>
        <v>1.6549999999999998</v>
      </c>
      <c r="K87" s="60">
        <f t="shared" si="24"/>
        <v>0.252222</v>
      </c>
      <c r="L87" s="26">
        <f t="shared" si="30"/>
        <v>2.5222199999999997E-2</v>
      </c>
      <c r="M87" s="65">
        <f t="shared" si="31"/>
        <v>2.5222199999999999E-3</v>
      </c>
      <c r="N87" s="67">
        <f t="shared" si="25"/>
        <v>0.33099999999999996</v>
      </c>
      <c r="O87" s="26">
        <f t="shared" si="26"/>
        <v>3.3099999999999997E-2</v>
      </c>
      <c r="P87" s="61">
        <f t="shared" si="32"/>
        <v>3.3099999999999996E-3</v>
      </c>
      <c r="Q87" s="58">
        <f t="shared" si="27"/>
        <v>1.6549999999999999E-2</v>
      </c>
      <c r="R87" s="26">
        <f t="shared" si="33"/>
        <v>51.655000000000001</v>
      </c>
      <c r="S87" s="27">
        <f t="shared" si="28"/>
        <v>61.655000000000001</v>
      </c>
      <c r="T87" s="25">
        <f t="shared" si="29"/>
        <v>6.7367788461538463E-3</v>
      </c>
      <c r="U87" s="28" t="str">
        <f t="shared" si="7"/>
        <v>SI</v>
      </c>
      <c r="V87" s="29">
        <f t="shared" si="12"/>
        <v>2.4566636931311328</v>
      </c>
      <c r="W87" s="20"/>
    </row>
    <row r="88" spans="1:23" x14ac:dyDescent="0.25">
      <c r="A88" s="91"/>
      <c r="B88" s="35" t="s">
        <v>93</v>
      </c>
      <c r="C88" s="2">
        <v>40</v>
      </c>
      <c r="D88" s="12"/>
      <c r="E88" s="2"/>
      <c r="F88" s="2">
        <v>6.6</v>
      </c>
      <c r="G88" s="16">
        <f>$C88*$H$3*'ASTM D638-Probetas'!B$6</f>
        <v>2080</v>
      </c>
      <c r="H88" s="16">
        <f>$C88*$H$3*'ASTM D638-Probetas'!C$6</f>
        <v>960</v>
      </c>
      <c r="I88" s="16">
        <f>$C88*$H$3*'ASTM D638-Probetas'!D$6</f>
        <v>5320</v>
      </c>
      <c r="J88" s="45">
        <f t="shared" si="23"/>
        <v>3.3000000000000003</v>
      </c>
      <c r="K88" s="60">
        <f t="shared" si="24"/>
        <v>0.50292000000000003</v>
      </c>
      <c r="L88" s="26">
        <f t="shared" si="30"/>
        <v>5.0292000000000003E-2</v>
      </c>
      <c r="M88" s="65">
        <f t="shared" si="31"/>
        <v>5.0292000000000002E-3</v>
      </c>
      <c r="N88" s="60">
        <f t="shared" si="25"/>
        <v>0.66</v>
      </c>
      <c r="O88" s="26">
        <f t="shared" si="26"/>
        <v>6.6000000000000003E-2</v>
      </c>
      <c r="P88" s="61">
        <f t="shared" si="32"/>
        <v>6.6000000000000008E-3</v>
      </c>
      <c r="Q88" s="58">
        <f t="shared" si="27"/>
        <v>3.3000000000000002E-2</v>
      </c>
      <c r="R88" s="26">
        <f t="shared" si="33"/>
        <v>53.3</v>
      </c>
      <c r="S88" s="27">
        <f t="shared" si="28"/>
        <v>63.3</v>
      </c>
      <c r="T88" s="25">
        <f t="shared" si="29"/>
        <v>6.9165209790209787E-3</v>
      </c>
      <c r="U88" s="28" t="str">
        <f t="shared" ref="U88:U107" si="34">IF(T88&lt;Q88,"SI",IF(Q88=0,"SI",IF(T88&gt;Q88,"NO")))</f>
        <v>SI</v>
      </c>
      <c r="V88" s="29">
        <f t="shared" si="12"/>
        <v>4.7711848341232228</v>
      </c>
      <c r="W88" s="20"/>
    </row>
    <row r="89" spans="1:23" x14ac:dyDescent="0.25">
      <c r="A89" s="95" t="s">
        <v>107</v>
      </c>
      <c r="B89" s="35" t="s">
        <v>108</v>
      </c>
      <c r="C89" s="2">
        <v>51</v>
      </c>
      <c r="D89" s="12" t="s">
        <v>171</v>
      </c>
      <c r="E89" s="2">
        <v>1806</v>
      </c>
      <c r="F89" s="2">
        <v>43</v>
      </c>
      <c r="G89" s="16">
        <f>$C89*$H$3*'ASTM D638-Probetas'!B$6</f>
        <v>2652</v>
      </c>
      <c r="H89" s="16">
        <f>$C89*$H$3*'ASTM D638-Probetas'!C$6</f>
        <v>1224</v>
      </c>
      <c r="I89" s="16">
        <f>$C89*$H$3*'ASTM D638-Probetas'!D$6</f>
        <v>6783</v>
      </c>
      <c r="J89" s="45">
        <f t="shared" si="23"/>
        <v>21.5</v>
      </c>
      <c r="K89" s="60">
        <f t="shared" si="24"/>
        <v>3.2766000000000002</v>
      </c>
      <c r="L89" s="26">
        <f t="shared" si="30"/>
        <v>0.32765999999999995</v>
      </c>
      <c r="M89" s="65">
        <f t="shared" si="31"/>
        <v>3.2766000000000003E-2</v>
      </c>
      <c r="N89" s="60">
        <f t="shared" si="25"/>
        <v>4.3</v>
      </c>
      <c r="O89" s="26">
        <f t="shared" si="26"/>
        <v>0.43</v>
      </c>
      <c r="P89" s="61">
        <f t="shared" si="32"/>
        <v>4.2999999999999997E-2</v>
      </c>
      <c r="Q89" s="58">
        <f t="shared" si="27"/>
        <v>0.215</v>
      </c>
      <c r="R89" s="26">
        <f t="shared" si="33"/>
        <v>71.5</v>
      </c>
      <c r="S89" s="27">
        <f t="shared" si="28"/>
        <v>81.5</v>
      </c>
      <c r="T89" s="25">
        <f t="shared" si="29"/>
        <v>8.9051573426573421E-3</v>
      </c>
      <c r="U89" s="28" t="str">
        <f t="shared" ref="U89:U98" si="35">IF(T89&lt;Q89,"SI",IF(Q89=0,"SI",IF(T89&gt;Q89,"NO")))</f>
        <v>SI</v>
      </c>
      <c r="V89" s="29">
        <f t="shared" ref="V89:V98" si="36">Q89/T89</f>
        <v>24.143312883435584</v>
      </c>
      <c r="W89" s="20"/>
    </row>
    <row r="90" spans="1:23" x14ac:dyDescent="0.25">
      <c r="A90" s="96"/>
      <c r="B90" s="35" t="s">
        <v>109</v>
      </c>
      <c r="C90" s="2">
        <v>67</v>
      </c>
      <c r="D90" s="12" t="s">
        <v>171</v>
      </c>
      <c r="E90" s="2">
        <v>2572</v>
      </c>
      <c r="F90" s="2">
        <v>10</v>
      </c>
      <c r="G90" s="16">
        <f>$C90*$H$3*'ASTM D638-Probetas'!B$6</f>
        <v>3484</v>
      </c>
      <c r="H90" s="16">
        <f>$C90*$H$3*'ASTM D638-Probetas'!C$6</f>
        <v>1608</v>
      </c>
      <c r="I90" s="16">
        <f>$C90*$H$3*'ASTM D638-Probetas'!D$6</f>
        <v>8911</v>
      </c>
      <c r="J90" s="45">
        <f t="shared" si="23"/>
        <v>5</v>
      </c>
      <c r="K90" s="60">
        <f t="shared" si="24"/>
        <v>0.76200000000000001</v>
      </c>
      <c r="L90" s="26">
        <f t="shared" si="30"/>
        <v>7.6200000000000004E-2</v>
      </c>
      <c r="M90" s="65">
        <f t="shared" si="31"/>
        <v>7.62E-3</v>
      </c>
      <c r="N90" s="60">
        <f t="shared" si="25"/>
        <v>1</v>
      </c>
      <c r="O90" s="26">
        <f t="shared" si="26"/>
        <v>0.1</v>
      </c>
      <c r="P90" s="61">
        <f t="shared" si="32"/>
        <v>0.01</v>
      </c>
      <c r="Q90" s="58">
        <f t="shared" si="27"/>
        <v>0.05</v>
      </c>
      <c r="R90" s="26">
        <f t="shared" si="33"/>
        <v>55</v>
      </c>
      <c r="S90" s="27">
        <f t="shared" si="28"/>
        <v>65</v>
      </c>
      <c r="T90" s="25">
        <f t="shared" si="29"/>
        <v>7.102272727272727E-3</v>
      </c>
      <c r="U90" s="28" t="str">
        <f t="shared" si="35"/>
        <v>SI</v>
      </c>
      <c r="V90" s="29">
        <f t="shared" si="36"/>
        <v>7.0400000000000009</v>
      </c>
      <c r="W90" s="20"/>
    </row>
    <row r="91" spans="1:23" x14ac:dyDescent="0.25">
      <c r="A91" s="96"/>
      <c r="B91" s="35" t="s">
        <v>110</v>
      </c>
      <c r="C91" s="2">
        <v>45</v>
      </c>
      <c r="D91" s="12" t="s">
        <v>171</v>
      </c>
      <c r="E91" s="2">
        <v>1434</v>
      </c>
      <c r="F91" s="2">
        <v>101</v>
      </c>
      <c r="G91" s="16">
        <f>$C91*$H$3*'ASTM D638-Probetas'!B$6</f>
        <v>2340</v>
      </c>
      <c r="H91" s="16">
        <f>$C91*$H$3*'ASTM D638-Probetas'!C$6</f>
        <v>1080</v>
      </c>
      <c r="I91" s="16">
        <f>$C91*$H$3*'ASTM D638-Probetas'!D$6</f>
        <v>5985</v>
      </c>
      <c r="J91" s="45">
        <f t="shared" si="23"/>
        <v>50.5</v>
      </c>
      <c r="K91" s="60">
        <f t="shared" si="24"/>
        <v>7.6962000000000002</v>
      </c>
      <c r="L91" s="26">
        <f t="shared" si="30"/>
        <v>0.76961999999999997</v>
      </c>
      <c r="M91" s="65">
        <f t="shared" si="31"/>
        <v>7.6962000000000003E-2</v>
      </c>
      <c r="N91" s="60">
        <f t="shared" si="25"/>
        <v>10.1</v>
      </c>
      <c r="O91" s="26">
        <f t="shared" si="26"/>
        <v>1.01</v>
      </c>
      <c r="P91" s="61">
        <f t="shared" si="32"/>
        <v>0.10100000000000001</v>
      </c>
      <c r="Q91" s="58">
        <f t="shared" si="27"/>
        <v>0.505</v>
      </c>
      <c r="R91" s="26">
        <f t="shared" si="33"/>
        <v>100.5</v>
      </c>
      <c r="S91" s="27">
        <f t="shared" si="28"/>
        <v>110.5</v>
      </c>
      <c r="T91" s="25">
        <f t="shared" si="29"/>
        <v>1.2073863636363636E-2</v>
      </c>
      <c r="U91" s="28" t="str">
        <f t="shared" si="35"/>
        <v>SI</v>
      </c>
      <c r="V91" s="29">
        <f t="shared" si="36"/>
        <v>41.825882352941179</v>
      </c>
      <c r="W91" s="20"/>
    </row>
    <row r="92" spans="1:23" x14ac:dyDescent="0.25">
      <c r="A92" s="96"/>
      <c r="B92" s="35" t="s">
        <v>111</v>
      </c>
      <c r="C92" s="2">
        <v>55</v>
      </c>
      <c r="D92" s="12" t="s">
        <v>171</v>
      </c>
      <c r="E92" s="2">
        <v>1610</v>
      </c>
      <c r="F92" s="2">
        <v>25</v>
      </c>
      <c r="G92" s="16">
        <f>$C92*$H$3*'ASTM D638-Probetas'!B$6</f>
        <v>2860</v>
      </c>
      <c r="H92" s="16">
        <f>$C92*$H$3*'ASTM D638-Probetas'!C$6</f>
        <v>1320</v>
      </c>
      <c r="I92" s="16">
        <f>$C92*$H$3*'ASTM D638-Probetas'!D$6</f>
        <v>7315</v>
      </c>
      <c r="J92" s="45">
        <f t="shared" si="23"/>
        <v>12.5</v>
      </c>
      <c r="K92" s="60">
        <f t="shared" si="24"/>
        <v>1.905</v>
      </c>
      <c r="L92" s="26">
        <f t="shared" si="30"/>
        <v>0.1905</v>
      </c>
      <c r="M92" s="65">
        <f t="shared" si="31"/>
        <v>1.9050000000000001E-2</v>
      </c>
      <c r="N92" s="60">
        <f t="shared" si="25"/>
        <v>2.5</v>
      </c>
      <c r="O92" s="26">
        <f t="shared" si="26"/>
        <v>0.25</v>
      </c>
      <c r="P92" s="61">
        <f t="shared" si="32"/>
        <v>2.5000000000000001E-2</v>
      </c>
      <c r="Q92" s="58">
        <f t="shared" si="27"/>
        <v>0.125</v>
      </c>
      <c r="R92" s="26">
        <f t="shared" si="33"/>
        <v>62.5</v>
      </c>
      <c r="S92" s="27">
        <f t="shared" si="28"/>
        <v>72.5</v>
      </c>
      <c r="T92" s="25">
        <f t="shared" si="29"/>
        <v>7.921765734265734E-3</v>
      </c>
      <c r="U92" s="28" t="str">
        <f t="shared" si="35"/>
        <v>SI</v>
      </c>
      <c r="V92" s="29">
        <f t="shared" si="36"/>
        <v>15.779310344827588</v>
      </c>
      <c r="W92" s="20"/>
    </row>
    <row r="93" spans="1:23" x14ac:dyDescent="0.25">
      <c r="A93" s="96"/>
      <c r="B93" s="35" t="s">
        <v>112</v>
      </c>
      <c r="C93" s="2">
        <v>48</v>
      </c>
      <c r="D93" s="12" t="s">
        <v>171</v>
      </c>
      <c r="E93" s="2">
        <v>1937</v>
      </c>
      <c r="F93" s="2">
        <v>5</v>
      </c>
      <c r="G93" s="16">
        <f>$C93*$H$3*'ASTM D638-Probetas'!B$6</f>
        <v>2496</v>
      </c>
      <c r="H93" s="16">
        <f>$C93*$H$3*'ASTM D638-Probetas'!C$6</f>
        <v>1152</v>
      </c>
      <c r="I93" s="16">
        <f>$C93*$H$3*'ASTM D638-Probetas'!D$6</f>
        <v>6384</v>
      </c>
      <c r="J93" s="45">
        <f t="shared" si="23"/>
        <v>2.5</v>
      </c>
      <c r="K93" s="60">
        <f t="shared" si="24"/>
        <v>0.38100000000000001</v>
      </c>
      <c r="L93" s="26">
        <f t="shared" si="30"/>
        <v>3.8100000000000002E-2</v>
      </c>
      <c r="M93" s="65">
        <f t="shared" si="31"/>
        <v>3.81E-3</v>
      </c>
      <c r="N93" s="60">
        <f t="shared" si="25"/>
        <v>0.5</v>
      </c>
      <c r="O93" s="26">
        <f t="shared" si="26"/>
        <v>0.05</v>
      </c>
      <c r="P93" s="61">
        <f t="shared" si="32"/>
        <v>5.0000000000000001E-3</v>
      </c>
      <c r="Q93" s="58">
        <f t="shared" si="27"/>
        <v>2.5000000000000001E-2</v>
      </c>
      <c r="R93" s="26">
        <f t="shared" si="33"/>
        <v>52.5</v>
      </c>
      <c r="S93" s="27">
        <f t="shared" si="28"/>
        <v>62.5</v>
      </c>
      <c r="T93" s="25">
        <f t="shared" si="29"/>
        <v>6.8291083916083919E-3</v>
      </c>
      <c r="U93" s="28" t="str">
        <f t="shared" si="35"/>
        <v>SI</v>
      </c>
      <c r="V93" s="29">
        <f t="shared" si="36"/>
        <v>3.6608000000000001</v>
      </c>
      <c r="W93" s="20"/>
    </row>
    <row r="94" spans="1:23" x14ac:dyDescent="0.25">
      <c r="A94" s="96"/>
      <c r="B94" s="35" t="s">
        <v>113</v>
      </c>
      <c r="C94" s="2">
        <v>39</v>
      </c>
      <c r="D94" s="12" t="s">
        <v>171</v>
      </c>
      <c r="E94" s="2">
        <v>3500</v>
      </c>
      <c r="F94" s="2">
        <v>2</v>
      </c>
      <c r="G94" s="16">
        <f>$C94*$H$3*'ASTM D638-Probetas'!B$6</f>
        <v>2028</v>
      </c>
      <c r="H94" s="16">
        <f>$C94*$H$3*'ASTM D638-Probetas'!C$6</f>
        <v>936</v>
      </c>
      <c r="I94" s="16">
        <f>$C94*$H$3*'ASTM D638-Probetas'!D$6</f>
        <v>5187</v>
      </c>
      <c r="J94" s="45">
        <f t="shared" si="23"/>
        <v>1</v>
      </c>
      <c r="K94" s="60">
        <f t="shared" si="24"/>
        <v>0.15240000000000001</v>
      </c>
      <c r="L94" s="26">
        <f t="shared" si="30"/>
        <v>1.524E-2</v>
      </c>
      <c r="M94" s="65">
        <f t="shared" si="31"/>
        <v>1.5240000000000002E-3</v>
      </c>
      <c r="N94" s="67">
        <f t="shared" si="25"/>
        <v>0.2</v>
      </c>
      <c r="O94" s="26">
        <f t="shared" si="26"/>
        <v>0.02</v>
      </c>
      <c r="P94" s="61">
        <f t="shared" si="32"/>
        <v>2E-3</v>
      </c>
      <c r="Q94" s="58">
        <f t="shared" si="27"/>
        <v>0.01</v>
      </c>
      <c r="R94" s="26">
        <f t="shared" si="33"/>
        <v>51</v>
      </c>
      <c r="S94" s="27">
        <f t="shared" si="28"/>
        <v>61</v>
      </c>
      <c r="T94" s="25">
        <f t="shared" si="29"/>
        <v>6.66520979020979E-3</v>
      </c>
      <c r="U94" s="28" t="str">
        <f t="shared" si="35"/>
        <v>SI</v>
      </c>
      <c r="V94" s="29">
        <f t="shared" si="36"/>
        <v>1.5003278688524591</v>
      </c>
      <c r="W94" s="20"/>
    </row>
    <row r="95" spans="1:23" x14ac:dyDescent="0.25">
      <c r="A95" s="96"/>
      <c r="B95" s="35" t="s">
        <v>114</v>
      </c>
      <c r="C95" s="2">
        <v>66</v>
      </c>
      <c r="D95" s="12" t="s">
        <v>171</v>
      </c>
      <c r="E95" s="2">
        <v>3556</v>
      </c>
      <c r="F95" s="2">
        <v>2.1</v>
      </c>
      <c r="G95" s="16">
        <f>$C95*$H$3*'ASTM D638-Probetas'!B$6</f>
        <v>3432</v>
      </c>
      <c r="H95" s="16">
        <f>$C95*$H$3*'ASTM D638-Probetas'!C$6</f>
        <v>1584</v>
      </c>
      <c r="I95" s="16">
        <f>$C95*$H$3*'ASTM D638-Probetas'!D$6</f>
        <v>8778</v>
      </c>
      <c r="J95" s="45">
        <f t="shared" si="23"/>
        <v>1.05</v>
      </c>
      <c r="K95" s="60">
        <f t="shared" si="24"/>
        <v>0.16002000000000002</v>
      </c>
      <c r="L95" s="26">
        <f t="shared" si="30"/>
        <v>1.6002000000000002E-2</v>
      </c>
      <c r="M95" s="65">
        <f t="shared" si="31"/>
        <v>1.6002000000000002E-3</v>
      </c>
      <c r="N95" s="67">
        <f t="shared" si="25"/>
        <v>0.21000000000000002</v>
      </c>
      <c r="O95" s="26">
        <f t="shared" si="26"/>
        <v>2.1000000000000001E-2</v>
      </c>
      <c r="P95" s="61">
        <f t="shared" si="32"/>
        <v>2.1000000000000003E-3</v>
      </c>
      <c r="Q95" s="58">
        <f t="shared" si="27"/>
        <v>1.0500000000000001E-2</v>
      </c>
      <c r="R95" s="26">
        <f t="shared" si="33"/>
        <v>51.05</v>
      </c>
      <c r="S95" s="27">
        <f t="shared" si="28"/>
        <v>61.05</v>
      </c>
      <c r="T95" s="25">
        <f t="shared" si="29"/>
        <v>6.6706730769230766E-3</v>
      </c>
      <c r="U95" s="28" t="str">
        <f t="shared" si="35"/>
        <v>SI</v>
      </c>
      <c r="V95" s="29">
        <f t="shared" si="36"/>
        <v>1.5740540540540542</v>
      </c>
      <c r="W95" s="20"/>
    </row>
    <row r="96" spans="1:23" x14ac:dyDescent="0.25">
      <c r="A96" s="96"/>
      <c r="B96" s="35" t="s">
        <v>115</v>
      </c>
      <c r="C96" s="2">
        <v>67</v>
      </c>
      <c r="D96" s="12" t="s">
        <v>171</v>
      </c>
      <c r="E96" s="2">
        <v>3190</v>
      </c>
      <c r="F96" s="2">
        <v>2.4</v>
      </c>
      <c r="G96" s="16">
        <f>$C96*$H$3*'ASTM D638-Probetas'!B$6</f>
        <v>3484</v>
      </c>
      <c r="H96" s="16">
        <f>$C96*$H$3*'ASTM D638-Probetas'!C$6</f>
        <v>1608</v>
      </c>
      <c r="I96" s="16">
        <f>$C96*$H$3*'ASTM D638-Probetas'!D$6</f>
        <v>8911</v>
      </c>
      <c r="J96" s="45">
        <f t="shared" si="23"/>
        <v>1.2</v>
      </c>
      <c r="K96" s="60">
        <f t="shared" si="24"/>
        <v>0.18288000000000001</v>
      </c>
      <c r="L96" s="26">
        <f t="shared" si="30"/>
        <v>1.8287999999999999E-2</v>
      </c>
      <c r="M96" s="65">
        <f t="shared" si="31"/>
        <v>1.8288E-3</v>
      </c>
      <c r="N96" s="67">
        <f t="shared" si="25"/>
        <v>0.24</v>
      </c>
      <c r="O96" s="26">
        <f t="shared" si="26"/>
        <v>2.4E-2</v>
      </c>
      <c r="P96" s="61">
        <f t="shared" si="32"/>
        <v>2.3999999999999998E-3</v>
      </c>
      <c r="Q96" s="58">
        <f t="shared" si="27"/>
        <v>1.2E-2</v>
      </c>
      <c r="R96" s="26">
        <f t="shared" si="33"/>
        <v>51.2</v>
      </c>
      <c r="S96" s="27">
        <f t="shared" si="28"/>
        <v>61.2</v>
      </c>
      <c r="T96" s="25">
        <f t="shared" si="29"/>
        <v>6.6870629370629374E-3</v>
      </c>
      <c r="U96" s="28" t="str">
        <f t="shared" si="35"/>
        <v>SI</v>
      </c>
      <c r="V96" s="29">
        <f t="shared" si="36"/>
        <v>1.7945098039215686</v>
      </c>
      <c r="W96" s="20"/>
    </row>
    <row r="97" spans="1:23" x14ac:dyDescent="0.25">
      <c r="A97" s="97"/>
      <c r="B97" s="35" t="s">
        <v>116</v>
      </c>
      <c r="C97" s="2">
        <v>39</v>
      </c>
      <c r="D97" s="12" t="s">
        <v>171</v>
      </c>
      <c r="E97" s="2">
        <v>1494</v>
      </c>
      <c r="F97" s="2">
        <v>105</v>
      </c>
      <c r="G97" s="16">
        <f>$C97*$H$3*'ASTM D638-Probetas'!B$6</f>
        <v>2028</v>
      </c>
      <c r="H97" s="16">
        <f>$C97*$H$3*'ASTM D638-Probetas'!C$6</f>
        <v>936</v>
      </c>
      <c r="I97" s="16">
        <f>$C97*$H$3*'ASTM D638-Probetas'!D$6</f>
        <v>5187</v>
      </c>
      <c r="J97" s="45">
        <f t="shared" si="23"/>
        <v>52.5</v>
      </c>
      <c r="K97" s="60">
        <f t="shared" si="24"/>
        <v>8.0010000000000012</v>
      </c>
      <c r="L97" s="26">
        <f t="shared" si="30"/>
        <v>0.80010000000000003</v>
      </c>
      <c r="M97" s="65">
        <f t="shared" si="31"/>
        <v>8.0010000000000012E-2</v>
      </c>
      <c r="N97" s="60">
        <f t="shared" si="25"/>
        <v>10.5</v>
      </c>
      <c r="O97" s="26">
        <f t="shared" si="26"/>
        <v>1.05</v>
      </c>
      <c r="P97" s="61">
        <f t="shared" si="32"/>
        <v>0.105</v>
      </c>
      <c r="Q97" s="58">
        <f t="shared" si="27"/>
        <v>0.52500000000000002</v>
      </c>
      <c r="R97" s="26">
        <f t="shared" si="33"/>
        <v>102.5</v>
      </c>
      <c r="S97" s="27">
        <f t="shared" si="28"/>
        <v>112.5</v>
      </c>
      <c r="T97" s="25">
        <f t="shared" si="29"/>
        <v>1.2292395104895104E-2</v>
      </c>
      <c r="U97" s="28" t="str">
        <f t="shared" si="35"/>
        <v>SI</v>
      </c>
      <c r="V97" s="29">
        <f t="shared" si="36"/>
        <v>42.70933333333334</v>
      </c>
      <c r="W97" s="20"/>
    </row>
    <row r="98" spans="1:23" x14ac:dyDescent="0.25">
      <c r="A98" s="36"/>
      <c r="B98" s="35" t="s">
        <v>94</v>
      </c>
      <c r="C98" s="3">
        <v>29.5</v>
      </c>
      <c r="D98" s="14"/>
      <c r="E98" s="3">
        <v>1379</v>
      </c>
      <c r="F98" s="3">
        <v>10.9</v>
      </c>
      <c r="G98" s="16">
        <f>$C98*$H$3*'ASTM D638-Probetas'!B$6</f>
        <v>1534</v>
      </c>
      <c r="H98" s="16">
        <f>$C98*$H$3*'ASTM D638-Probetas'!C$6</f>
        <v>708</v>
      </c>
      <c r="I98" s="16">
        <f>$C98*$H$3*'ASTM D638-Probetas'!D$6</f>
        <v>3923.5</v>
      </c>
      <c r="J98" s="45">
        <f t="shared" si="23"/>
        <v>5.45</v>
      </c>
      <c r="K98" s="60">
        <f t="shared" si="24"/>
        <v>0.83057999999999998</v>
      </c>
      <c r="L98" s="26">
        <f t="shared" si="30"/>
        <v>8.3058000000000007E-2</v>
      </c>
      <c r="M98" s="65">
        <f t="shared" si="31"/>
        <v>8.3058000000000003E-3</v>
      </c>
      <c r="N98" s="60">
        <f t="shared" si="25"/>
        <v>1.0900000000000001</v>
      </c>
      <c r="O98" s="26">
        <f t="shared" si="26"/>
        <v>0.109</v>
      </c>
      <c r="P98" s="61">
        <f t="shared" si="32"/>
        <v>1.09E-2</v>
      </c>
      <c r="Q98" s="58">
        <f t="shared" si="27"/>
        <v>5.45E-2</v>
      </c>
      <c r="R98" s="26">
        <f t="shared" si="33"/>
        <v>55.45</v>
      </c>
      <c r="S98" s="27">
        <f t="shared" si="28"/>
        <v>65.45</v>
      </c>
      <c r="T98" s="25">
        <f t="shared" si="29"/>
        <v>7.1514423076923083E-3</v>
      </c>
      <c r="U98" s="28" t="str">
        <f t="shared" si="35"/>
        <v>SI</v>
      </c>
      <c r="V98" s="29">
        <f t="shared" si="36"/>
        <v>7.620840336134453</v>
      </c>
      <c r="W98" s="20"/>
    </row>
    <row r="99" spans="1:23" x14ac:dyDescent="0.25">
      <c r="A99" s="34" t="s">
        <v>95</v>
      </c>
      <c r="B99" s="35" t="s">
        <v>96</v>
      </c>
      <c r="C99" s="3">
        <v>29.5</v>
      </c>
      <c r="D99" s="14"/>
      <c r="E99" s="3">
        <v>1379</v>
      </c>
      <c r="F99" s="3">
        <v>10.9</v>
      </c>
      <c r="G99" s="16">
        <f>$C99*$H$3*'ASTM D638-Probetas'!B$6</f>
        <v>1534</v>
      </c>
      <c r="H99" s="16">
        <f>$C99*$H$3*'ASTM D638-Probetas'!C$6</f>
        <v>708</v>
      </c>
      <c r="I99" s="16">
        <f>$C99*$H$3*'ASTM D638-Probetas'!D$6</f>
        <v>3923.5</v>
      </c>
      <c r="J99" s="45">
        <f t="shared" si="23"/>
        <v>5.45</v>
      </c>
      <c r="K99" s="60">
        <f t="shared" si="24"/>
        <v>0.83057999999999998</v>
      </c>
      <c r="L99" s="26">
        <f t="shared" si="30"/>
        <v>8.3058000000000007E-2</v>
      </c>
      <c r="M99" s="65">
        <f t="shared" si="31"/>
        <v>8.3058000000000003E-3</v>
      </c>
      <c r="N99" s="60">
        <f t="shared" si="25"/>
        <v>1.0900000000000001</v>
      </c>
      <c r="O99" s="26">
        <f t="shared" si="26"/>
        <v>0.109</v>
      </c>
      <c r="P99" s="61">
        <f t="shared" si="32"/>
        <v>1.09E-2</v>
      </c>
      <c r="Q99" s="58">
        <f t="shared" si="27"/>
        <v>5.45E-2</v>
      </c>
      <c r="R99" s="26">
        <f t="shared" si="33"/>
        <v>55.45</v>
      </c>
      <c r="S99" s="27">
        <f t="shared" si="28"/>
        <v>65.45</v>
      </c>
      <c r="T99" s="25">
        <f t="shared" si="29"/>
        <v>7.1514423076923083E-3</v>
      </c>
      <c r="U99" s="28" t="str">
        <f t="shared" si="34"/>
        <v>SI</v>
      </c>
      <c r="V99" s="29">
        <f t="shared" ref="V99:V107" si="37">Q99/T99</f>
        <v>7.620840336134453</v>
      </c>
      <c r="W99" s="20"/>
    </row>
    <row r="100" spans="1:23" x14ac:dyDescent="0.25">
      <c r="A100" s="34" t="s">
        <v>97</v>
      </c>
      <c r="B100" s="35" t="s">
        <v>98</v>
      </c>
      <c r="C100" s="2">
        <v>50</v>
      </c>
      <c r="D100" s="12"/>
      <c r="E100" s="2"/>
      <c r="F100" s="2">
        <v>140</v>
      </c>
      <c r="G100" s="16">
        <f>$C100*$H$3*'ASTM D638-Probetas'!B$6</f>
        <v>2600</v>
      </c>
      <c r="H100" s="16">
        <f>$C100*$H$3*'ASTM D638-Probetas'!C$6</f>
        <v>1200</v>
      </c>
      <c r="I100" s="16">
        <f>$C100*$H$3*'ASTM D638-Probetas'!D$6</f>
        <v>6650</v>
      </c>
      <c r="J100" s="45">
        <f t="shared" si="23"/>
        <v>70</v>
      </c>
      <c r="K100" s="60">
        <f t="shared" si="24"/>
        <v>10.667999999999999</v>
      </c>
      <c r="L100" s="26">
        <f t="shared" si="30"/>
        <v>1.0668000000000002</v>
      </c>
      <c r="M100" s="65">
        <f t="shared" si="31"/>
        <v>0.10668</v>
      </c>
      <c r="N100" s="60">
        <f t="shared" si="25"/>
        <v>14</v>
      </c>
      <c r="O100" s="26">
        <f t="shared" si="26"/>
        <v>1.4</v>
      </c>
      <c r="P100" s="61">
        <f t="shared" si="32"/>
        <v>0.14000000000000001</v>
      </c>
      <c r="Q100" s="58">
        <f t="shared" si="27"/>
        <v>0.7</v>
      </c>
      <c r="R100" s="26">
        <f t="shared" si="33"/>
        <v>120</v>
      </c>
      <c r="S100" s="27">
        <f t="shared" si="28"/>
        <v>130</v>
      </c>
      <c r="T100" s="25">
        <f t="shared" si="29"/>
        <v>1.4204545454545454E-2</v>
      </c>
      <c r="U100" s="28" t="str">
        <f t="shared" si="34"/>
        <v>SI</v>
      </c>
      <c r="V100" s="29">
        <f t="shared" si="37"/>
        <v>49.28</v>
      </c>
      <c r="W100" s="20"/>
    </row>
    <row r="101" spans="1:23" x14ac:dyDescent="0.25">
      <c r="A101" s="36"/>
      <c r="B101" s="35" t="s">
        <v>99</v>
      </c>
      <c r="C101" s="3">
        <v>35.799999999999997</v>
      </c>
      <c r="D101" s="14"/>
      <c r="E101" s="3">
        <v>3000</v>
      </c>
      <c r="F101" s="3">
        <v>4.4000000000000004</v>
      </c>
      <c r="G101" s="16">
        <f>$C101*$H$3*'ASTM D638-Probetas'!B$6</f>
        <v>1861.6</v>
      </c>
      <c r="H101" s="16">
        <f>$C101*$H$3*'ASTM D638-Probetas'!C$6</f>
        <v>859.19999999999993</v>
      </c>
      <c r="I101" s="16">
        <f>$C101*$H$3*'ASTM D638-Probetas'!D$6</f>
        <v>4761.3999999999996</v>
      </c>
      <c r="J101" s="45">
        <f t="shared" si="23"/>
        <v>2.2000000000000002</v>
      </c>
      <c r="K101" s="60">
        <f t="shared" si="24"/>
        <v>0.33528000000000002</v>
      </c>
      <c r="L101" s="26">
        <f t="shared" si="30"/>
        <v>3.3528000000000002E-2</v>
      </c>
      <c r="M101" s="65">
        <f t="shared" si="31"/>
        <v>3.3528000000000004E-3</v>
      </c>
      <c r="N101" s="60">
        <f t="shared" si="25"/>
        <v>0.44000000000000006</v>
      </c>
      <c r="O101" s="26">
        <f t="shared" si="26"/>
        <v>4.4000000000000004E-2</v>
      </c>
      <c r="P101" s="61">
        <f t="shared" si="32"/>
        <v>4.4000000000000003E-3</v>
      </c>
      <c r="Q101" s="58">
        <f t="shared" si="27"/>
        <v>2.2000000000000002E-2</v>
      </c>
      <c r="R101" s="26">
        <f t="shared" si="33"/>
        <v>52.2</v>
      </c>
      <c r="S101" s="27">
        <f t="shared" si="28"/>
        <v>62.2</v>
      </c>
      <c r="T101" s="25">
        <f t="shared" si="29"/>
        <v>6.7963286713286714E-3</v>
      </c>
      <c r="U101" s="28" t="str">
        <f t="shared" si="34"/>
        <v>SI</v>
      </c>
      <c r="V101" s="29">
        <f t="shared" si="37"/>
        <v>3.237041800643087</v>
      </c>
      <c r="W101" s="20"/>
    </row>
    <row r="102" spans="1:23" x14ac:dyDescent="0.25">
      <c r="A102" s="37"/>
      <c r="B102" s="35" t="s">
        <v>100</v>
      </c>
      <c r="C102" s="3">
        <v>100</v>
      </c>
      <c r="D102" s="14"/>
      <c r="E102" s="3">
        <v>3720</v>
      </c>
      <c r="F102" s="3">
        <v>28</v>
      </c>
      <c r="G102" s="16">
        <f>$C102*$H$3*'ASTM D638-Probetas'!B$6</f>
        <v>5200</v>
      </c>
      <c r="H102" s="16">
        <f>$C102*$H$3*'ASTM D638-Probetas'!C$6</f>
        <v>2400</v>
      </c>
      <c r="I102" s="16">
        <f>$C102*$H$3*'ASTM D638-Probetas'!D$6</f>
        <v>13300</v>
      </c>
      <c r="J102" s="45">
        <f t="shared" si="23"/>
        <v>14.000000000000002</v>
      </c>
      <c r="K102" s="60">
        <f t="shared" si="24"/>
        <v>2.1336000000000004</v>
      </c>
      <c r="L102" s="26">
        <f t="shared" si="30"/>
        <v>0.21336000000000002</v>
      </c>
      <c r="M102" s="65">
        <f t="shared" si="31"/>
        <v>2.1336000000000004E-2</v>
      </c>
      <c r="N102" s="60">
        <f t="shared" si="25"/>
        <v>2.8000000000000003</v>
      </c>
      <c r="O102" s="26">
        <f t="shared" si="26"/>
        <v>0.28000000000000003</v>
      </c>
      <c r="P102" s="61">
        <f t="shared" si="32"/>
        <v>2.8000000000000004E-2</v>
      </c>
      <c r="Q102" s="58">
        <f t="shared" si="27"/>
        <v>0.14000000000000001</v>
      </c>
      <c r="R102" s="26">
        <f t="shared" si="33"/>
        <v>64</v>
      </c>
      <c r="S102" s="27">
        <f t="shared" si="28"/>
        <v>74</v>
      </c>
      <c r="T102" s="25">
        <f t="shared" si="29"/>
        <v>8.085664335664336E-3</v>
      </c>
      <c r="U102" s="28" t="str">
        <f t="shared" si="34"/>
        <v>SI</v>
      </c>
      <c r="V102" s="29">
        <f t="shared" si="37"/>
        <v>17.314594594594595</v>
      </c>
      <c r="W102" s="20"/>
    </row>
    <row r="103" spans="1:23" x14ac:dyDescent="0.25">
      <c r="A103" s="38"/>
      <c r="B103" s="35" t="s">
        <v>101</v>
      </c>
      <c r="C103" s="3">
        <v>23</v>
      </c>
      <c r="D103" s="14" t="s">
        <v>102</v>
      </c>
      <c r="E103" s="3"/>
      <c r="F103" s="3">
        <v>100</v>
      </c>
      <c r="G103" s="16">
        <f>$C103*$H$3*'ASTM D638-Probetas'!B$6</f>
        <v>1196</v>
      </c>
      <c r="H103" s="16">
        <f>$C103*$H$3*'ASTM D638-Probetas'!C$6</f>
        <v>552</v>
      </c>
      <c r="I103" s="16">
        <f>$C103*$H$3*'ASTM D638-Probetas'!D$6</f>
        <v>3059</v>
      </c>
      <c r="J103" s="45">
        <f t="shared" si="23"/>
        <v>50</v>
      </c>
      <c r="K103" s="60">
        <f t="shared" si="24"/>
        <v>7.62</v>
      </c>
      <c r="L103" s="26">
        <f t="shared" si="30"/>
        <v>0.76200000000000001</v>
      </c>
      <c r="M103" s="65">
        <f t="shared" si="31"/>
        <v>7.6200000000000004E-2</v>
      </c>
      <c r="N103" s="60">
        <f t="shared" si="25"/>
        <v>10</v>
      </c>
      <c r="O103" s="26">
        <f t="shared" si="26"/>
        <v>1</v>
      </c>
      <c r="P103" s="61">
        <f t="shared" si="32"/>
        <v>0.1</v>
      </c>
      <c r="Q103" s="58">
        <f t="shared" si="27"/>
        <v>0.5</v>
      </c>
      <c r="R103" s="26">
        <f t="shared" si="33"/>
        <v>100</v>
      </c>
      <c r="S103" s="27">
        <f t="shared" si="28"/>
        <v>110</v>
      </c>
      <c r="T103" s="25">
        <f t="shared" si="29"/>
        <v>1.201923076923077E-2</v>
      </c>
      <c r="U103" s="28" t="str">
        <f t="shared" si="34"/>
        <v>SI</v>
      </c>
      <c r="V103" s="29">
        <f>Q103/T103</f>
        <v>41.599999999999994</v>
      </c>
      <c r="W103" s="20"/>
    </row>
    <row r="104" spans="1:23" x14ac:dyDescent="0.25">
      <c r="A104" s="34" t="s">
        <v>95</v>
      </c>
      <c r="B104" s="35" t="s">
        <v>103</v>
      </c>
      <c r="C104" s="3">
        <v>9.4</v>
      </c>
      <c r="D104" s="14" t="s">
        <v>102</v>
      </c>
      <c r="E104" s="3">
        <v>190</v>
      </c>
      <c r="F104" s="3">
        <v>250</v>
      </c>
      <c r="G104" s="16">
        <f>$C104*$H$3*'ASTM D638-Probetas'!B$6</f>
        <v>488.8</v>
      </c>
      <c r="H104" s="16">
        <f>$C104*$H$3*'ASTM D638-Probetas'!C$6</f>
        <v>225.60000000000002</v>
      </c>
      <c r="I104" s="16">
        <f>$C104*$H$3*'ASTM D638-Probetas'!D$6</f>
        <v>1250.2</v>
      </c>
      <c r="J104" s="45">
        <f t="shared" si="23"/>
        <v>125</v>
      </c>
      <c r="K104" s="60">
        <f t="shared" ref="K104:K135" si="38">J104/1/50*7.62</f>
        <v>19.05</v>
      </c>
      <c r="L104" s="26">
        <f t="shared" si="30"/>
        <v>1.905</v>
      </c>
      <c r="M104" s="65">
        <f t="shared" si="31"/>
        <v>0.1905</v>
      </c>
      <c r="N104" s="60">
        <f t="shared" si="25"/>
        <v>25</v>
      </c>
      <c r="O104" s="26">
        <f t="shared" si="26"/>
        <v>2.5</v>
      </c>
      <c r="P104" s="61">
        <f t="shared" si="32"/>
        <v>0.25</v>
      </c>
      <c r="Q104" s="58">
        <f t="shared" si="27"/>
        <v>1.25</v>
      </c>
      <c r="R104" s="26">
        <f t="shared" si="33"/>
        <v>175</v>
      </c>
      <c r="S104" s="27">
        <f t="shared" ref="S104:S135" si="39">R104+$S$4</f>
        <v>185</v>
      </c>
      <c r="T104" s="25">
        <f t="shared" ref="T104:T135" si="40">S104/$T$7</f>
        <v>2.021416083916084E-2</v>
      </c>
      <c r="U104" s="28" t="str">
        <f t="shared" si="34"/>
        <v>SI</v>
      </c>
      <c r="V104" s="29">
        <f t="shared" si="37"/>
        <v>61.837837837837839</v>
      </c>
      <c r="W104" s="20"/>
    </row>
    <row r="105" spans="1:23" x14ac:dyDescent="0.25">
      <c r="A105" s="34" t="s">
        <v>97</v>
      </c>
      <c r="B105" s="35" t="s">
        <v>104</v>
      </c>
      <c r="C105" s="2">
        <v>81</v>
      </c>
      <c r="D105" s="12" t="s">
        <v>170</v>
      </c>
      <c r="E105" s="2">
        <v>2770</v>
      </c>
      <c r="F105" s="2">
        <v>3.3</v>
      </c>
      <c r="G105" s="16">
        <f>$C105*$H$3*'ASTM D638-Probetas'!B$6</f>
        <v>4212</v>
      </c>
      <c r="H105" s="16">
        <f>$C105*$H$3*'ASTM D638-Probetas'!C$6</f>
        <v>1944</v>
      </c>
      <c r="I105" s="16">
        <f>$C105*$H$3*'ASTM D638-Probetas'!D$6</f>
        <v>10773</v>
      </c>
      <c r="J105" s="45">
        <f t="shared" si="23"/>
        <v>1.6500000000000001</v>
      </c>
      <c r="K105" s="60">
        <f t="shared" si="38"/>
        <v>0.25146000000000002</v>
      </c>
      <c r="L105" s="26">
        <f t="shared" si="30"/>
        <v>2.5146000000000002E-2</v>
      </c>
      <c r="M105" s="65">
        <f t="shared" si="31"/>
        <v>2.5146000000000001E-3</v>
      </c>
      <c r="N105" s="67">
        <f t="shared" si="25"/>
        <v>0.33</v>
      </c>
      <c r="O105" s="26">
        <f t="shared" si="26"/>
        <v>3.3000000000000002E-2</v>
      </c>
      <c r="P105" s="61">
        <f t="shared" si="32"/>
        <v>3.3000000000000004E-3</v>
      </c>
      <c r="Q105" s="58">
        <f t="shared" si="27"/>
        <v>1.6500000000000001E-2</v>
      </c>
      <c r="R105" s="26">
        <f t="shared" si="33"/>
        <v>51.65</v>
      </c>
      <c r="S105" s="27">
        <f t="shared" si="39"/>
        <v>61.65</v>
      </c>
      <c r="T105" s="25">
        <f t="shared" si="40"/>
        <v>6.7362325174825178E-3</v>
      </c>
      <c r="U105" s="28" t="str">
        <f t="shared" si="34"/>
        <v>SI</v>
      </c>
      <c r="V105" s="29">
        <f t="shared" si="37"/>
        <v>2.4494403892944039</v>
      </c>
      <c r="W105" s="20"/>
    </row>
    <row r="106" spans="1:23" x14ac:dyDescent="0.25">
      <c r="A106" s="34" t="s">
        <v>117</v>
      </c>
      <c r="B106" s="35" t="s">
        <v>105</v>
      </c>
      <c r="C106" s="3">
        <v>110</v>
      </c>
      <c r="D106" s="14"/>
      <c r="E106" s="3">
        <v>3590</v>
      </c>
      <c r="F106" s="3">
        <v>60</v>
      </c>
      <c r="G106" s="16">
        <f>$C106*$H$3*'ASTM D638-Probetas'!B$6</f>
        <v>5720</v>
      </c>
      <c r="H106" s="16">
        <f>$C106*$H$3*'ASTM D638-Probetas'!C$6</f>
        <v>2640</v>
      </c>
      <c r="I106" s="16">
        <f>$C106*$H$3*'ASTM D638-Probetas'!D$6</f>
        <v>14630</v>
      </c>
      <c r="J106" s="45">
        <f t="shared" si="23"/>
        <v>30</v>
      </c>
      <c r="K106" s="60">
        <f t="shared" si="38"/>
        <v>4.5720000000000001</v>
      </c>
      <c r="L106" s="26">
        <f t="shared" si="30"/>
        <v>0.4572</v>
      </c>
      <c r="M106" s="65">
        <f t="shared" si="31"/>
        <v>4.5720000000000004E-2</v>
      </c>
      <c r="N106" s="60">
        <f t="shared" si="25"/>
        <v>6</v>
      </c>
      <c r="O106" s="26">
        <f t="shared" si="26"/>
        <v>0.6</v>
      </c>
      <c r="P106" s="61">
        <f t="shared" si="32"/>
        <v>0.06</v>
      </c>
      <c r="Q106" s="58">
        <f t="shared" si="27"/>
        <v>0.3</v>
      </c>
      <c r="R106" s="26">
        <f t="shared" si="33"/>
        <v>80</v>
      </c>
      <c r="S106" s="27">
        <f t="shared" si="39"/>
        <v>90</v>
      </c>
      <c r="T106" s="25">
        <f t="shared" si="40"/>
        <v>9.833916083916084E-3</v>
      </c>
      <c r="U106" s="28" t="str">
        <f t="shared" si="34"/>
        <v>SI</v>
      </c>
      <c r="V106" s="29">
        <f t="shared" si="37"/>
        <v>30.506666666666664</v>
      </c>
      <c r="W106" s="20"/>
    </row>
    <row r="107" spans="1:23" ht="15.75" thickBot="1" x14ac:dyDescent="0.3">
      <c r="A107" s="37"/>
      <c r="B107" s="35" t="s">
        <v>106</v>
      </c>
      <c r="C107" s="2">
        <v>69.63</v>
      </c>
      <c r="D107" s="12"/>
      <c r="E107" s="2">
        <v>2344</v>
      </c>
      <c r="F107" s="2">
        <v>100</v>
      </c>
      <c r="G107" s="16">
        <f>$C107*$H$3*'ASTM D638-Probetas'!B$6</f>
        <v>3620.7599999999998</v>
      </c>
      <c r="H107" s="16">
        <f>$C107*$H$3*'ASTM D638-Probetas'!C$6</f>
        <v>1671.12</v>
      </c>
      <c r="I107" s="16">
        <f>$C107*$H$3*'ASTM D638-Probetas'!D$6</f>
        <v>9260.7899999999991</v>
      </c>
      <c r="J107" s="45">
        <f t="shared" si="23"/>
        <v>50</v>
      </c>
      <c r="K107" s="62">
        <f t="shared" ref="K107" si="41">J107/1/50*7.62</f>
        <v>7.62</v>
      </c>
      <c r="L107" s="63">
        <f t="shared" si="30"/>
        <v>0.76200000000000001</v>
      </c>
      <c r="M107" s="66">
        <f t="shared" si="31"/>
        <v>7.6200000000000004E-2</v>
      </c>
      <c r="N107" s="62">
        <f t="shared" si="25"/>
        <v>10</v>
      </c>
      <c r="O107" s="63">
        <f t="shared" si="26"/>
        <v>1</v>
      </c>
      <c r="P107" s="64">
        <f t="shared" si="32"/>
        <v>0.1</v>
      </c>
      <c r="Q107" s="58">
        <f t="shared" si="27"/>
        <v>0.5</v>
      </c>
      <c r="R107" s="26">
        <f t="shared" si="33"/>
        <v>100</v>
      </c>
      <c r="S107" s="27">
        <f t="shared" si="39"/>
        <v>110</v>
      </c>
      <c r="T107" s="25">
        <f t="shared" si="40"/>
        <v>1.201923076923077E-2</v>
      </c>
      <c r="U107" s="28" t="str">
        <f t="shared" si="34"/>
        <v>SI</v>
      </c>
      <c r="V107" s="29">
        <f t="shared" si="37"/>
        <v>41.599999999999994</v>
      </c>
      <c r="W107" s="20"/>
    </row>
    <row r="110" spans="1:23" x14ac:dyDescent="0.25"/>
    <row r="111" spans="1:23" x14ac:dyDescent="0.25"/>
    <row r="112" spans="1:23" ht="98.25" x14ac:dyDescent="0.25">
      <c r="K112" s="55" t="s">
        <v>177</v>
      </c>
      <c r="L112" s="55" t="s">
        <v>184</v>
      </c>
      <c r="M112" s="55" t="s">
        <v>185</v>
      </c>
      <c r="N112" s="55" t="s">
        <v>178</v>
      </c>
      <c r="O112" s="55" t="s">
        <v>179</v>
      </c>
      <c r="P112" s="55" t="s">
        <v>187</v>
      </c>
      <c r="Q112" s="55" t="s">
        <v>176</v>
      </c>
      <c r="R112" s="55" t="s">
        <v>175</v>
      </c>
    </row>
    <row r="113" spans="4:18" x14ac:dyDescent="0.25">
      <c r="K113" s="54">
        <f>COUNTIF($K$8:$K$107,"&lt;6,25")-COUNTIF($K$8:$K$107,"&lt;0,375")</f>
        <v>59</v>
      </c>
      <c r="L113" s="54">
        <f>COUNTIF($L$8:$L$107,"&lt;6,25")-COUNTIF($L$8:$L$107,"&lt;0,375")</f>
        <v>19</v>
      </c>
      <c r="M113" s="54">
        <f>COUNTIF($M$8:$M$107,"&lt;6,25")-COUNTIF($M$8:$M$107,"&lt;0,375")</f>
        <v>0</v>
      </c>
      <c r="N113" s="54">
        <f>COUNTIF($N$8:$N$107,"&lt;6,25")-COUNTIF($N$8:$N$107,"&lt;0,375")</f>
        <v>64</v>
      </c>
      <c r="O113" s="54">
        <f>COUNTIF($O$8:$O$107,"&lt;6,25")-COUNTIF($O$8:$O$107,"&lt;0,375")</f>
        <v>21</v>
      </c>
      <c r="P113" s="54">
        <f>COUNTIF($P$8:$P$107,"&lt;6,25")-COUNTIF($P$8:$P$107,"&lt;0,375")</f>
        <v>0</v>
      </c>
      <c r="Q113" s="50">
        <v>20</v>
      </c>
      <c r="R113" s="56">
        <f>N113+Q113</f>
        <v>84</v>
      </c>
    </row>
    <row r="114" spans="4:18" x14ac:dyDescent="0.25">
      <c r="K114" s="54"/>
      <c r="L114" s="54"/>
      <c r="M114" s="54"/>
      <c r="N114" s="54"/>
      <c r="O114" s="54"/>
      <c r="P114" s="54"/>
      <c r="Q114" s="50"/>
      <c r="R114" s="56"/>
    </row>
    <row r="115" spans="4:18" x14ac:dyDescent="0.25">
      <c r="D115" s="74" t="s">
        <v>154</v>
      </c>
      <c r="E115" s="74"/>
      <c r="F115" s="74"/>
      <c r="G115" s="74"/>
      <c r="H115" s="74"/>
      <c r="I115" s="74"/>
      <c r="J115" s="74"/>
      <c r="K115" s="74"/>
    </row>
    <row r="116" spans="4:18" ht="15" customHeight="1" x14ac:dyDescent="0.25">
      <c r="G116" t="s">
        <v>150</v>
      </c>
      <c r="P116" s="54"/>
      <c r="Q116" s="54"/>
    </row>
    <row r="117" spans="4:18" ht="15" customHeight="1" x14ac:dyDescent="0.25">
      <c r="E117" s="33" t="s">
        <v>155</v>
      </c>
      <c r="G117">
        <v>1</v>
      </c>
      <c r="H117" s="52">
        <f>(COUNTIF($G$8:$G$107,"&lt;1000")/100)*100</f>
        <v>2</v>
      </c>
      <c r="I117" s="53">
        <f t="shared" ref="I117:I121" si="42">-H117+100</f>
        <v>98</v>
      </c>
    </row>
    <row r="118" spans="4:18" ht="15" customHeight="1" x14ac:dyDescent="0.25">
      <c r="E118" s="33" t="s">
        <v>156</v>
      </c>
      <c r="G118">
        <v>2</v>
      </c>
      <c r="H118" s="52">
        <f>(COUNTIF($G$8:$G$107,"&lt;2000")/100)*100</f>
        <v>24</v>
      </c>
      <c r="I118" s="53">
        <f t="shared" si="42"/>
        <v>76</v>
      </c>
      <c r="L118" s="43"/>
      <c r="M118" s="43"/>
      <c r="N118" s="43"/>
    </row>
    <row r="119" spans="4:18" ht="15" customHeight="1" x14ac:dyDescent="0.25">
      <c r="E119" s="33" t="s">
        <v>157</v>
      </c>
      <c r="G119">
        <v>3</v>
      </c>
      <c r="H119" s="52">
        <f>(COUNTIF($G$8:$G$107,"&lt;3000")/100)*100</f>
        <v>66</v>
      </c>
      <c r="I119" s="53">
        <f t="shared" si="42"/>
        <v>34</v>
      </c>
      <c r="L119" s="44"/>
      <c r="M119" s="44"/>
      <c r="N119" s="44"/>
    </row>
    <row r="120" spans="4:18" ht="15" customHeight="1" x14ac:dyDescent="0.25">
      <c r="E120" s="33" t="s">
        <v>158</v>
      </c>
      <c r="G120">
        <v>4</v>
      </c>
      <c r="H120" s="52">
        <f>(COUNTIF($G$8:$G$107,"&lt;4000")/100)*100</f>
        <v>85</v>
      </c>
      <c r="I120" s="53">
        <f t="shared" si="42"/>
        <v>15</v>
      </c>
    </row>
    <row r="121" spans="4:18" ht="15" customHeight="1" x14ac:dyDescent="0.25">
      <c r="E121" s="33" t="s">
        <v>159</v>
      </c>
      <c r="G121">
        <v>5</v>
      </c>
      <c r="H121" s="52">
        <f>(COUNTIF($G$8:$G$107,"&lt;5000")/100)*100</f>
        <v>93</v>
      </c>
      <c r="I121" s="53">
        <f t="shared" si="42"/>
        <v>7</v>
      </c>
    </row>
    <row r="122" spans="4:18" ht="15" customHeight="1" x14ac:dyDescent="0.25">
      <c r="E122" s="33" t="s">
        <v>160</v>
      </c>
      <c r="G122">
        <v>6</v>
      </c>
      <c r="H122" s="52">
        <f>(COUNTIF($G$8:$G$107,"&lt;6000")/100)*100</f>
        <v>99</v>
      </c>
      <c r="I122" s="53">
        <f>-H122+100</f>
        <v>1</v>
      </c>
    </row>
    <row r="123" spans="4:18" ht="15" customHeight="1" x14ac:dyDescent="0.25">
      <c r="E123" s="33" t="s">
        <v>164</v>
      </c>
      <c r="G123">
        <v>7</v>
      </c>
      <c r="H123" s="52">
        <f>(COUNTIF($G$8:$G$107,"&lt;7000")/100)*100</f>
        <v>99</v>
      </c>
      <c r="I123" s="53">
        <f>-H123+100</f>
        <v>1</v>
      </c>
    </row>
    <row r="124" spans="4:18" ht="15" customHeight="1" x14ac:dyDescent="0.25">
      <c r="E124" s="33" t="s">
        <v>161</v>
      </c>
      <c r="G124">
        <v>8</v>
      </c>
      <c r="H124" s="52">
        <f>(COUNTIF($G$8:$G$107,"&lt;8000")/100)*100</f>
        <v>99</v>
      </c>
      <c r="I124" s="53">
        <f>-H124+100</f>
        <v>1</v>
      </c>
    </row>
    <row r="125" spans="4:18" ht="15" customHeight="1" x14ac:dyDescent="0.25">
      <c r="E125" s="33" t="s">
        <v>162</v>
      </c>
      <c r="G125">
        <v>9</v>
      </c>
      <c r="H125" s="52">
        <f>(COUNTIF($G$8:$G$107,"&lt;9000")/100)*100</f>
        <v>100</v>
      </c>
      <c r="I125" s="53">
        <f t="shared" ref="I125" si="43">-H125+100</f>
        <v>0</v>
      </c>
    </row>
    <row r="126" spans="4:18" ht="15" customHeight="1" x14ac:dyDescent="0.25">
      <c r="E126" s="33" t="s">
        <v>163</v>
      </c>
      <c r="G126">
        <v>10</v>
      </c>
      <c r="H126" s="52">
        <f>(COUNTIF($G$8:$G$107,"&lt;10000")/100)*100</f>
        <v>100</v>
      </c>
      <c r="I126" s="53">
        <f>-H126+100</f>
        <v>0</v>
      </c>
    </row>
    <row r="157" spans="4:11" ht="15" customHeight="1" x14ac:dyDescent="0.25">
      <c r="D157" s="74" t="s">
        <v>165</v>
      </c>
      <c r="E157" s="74"/>
      <c r="F157" s="74"/>
      <c r="G157" s="74"/>
      <c r="H157" s="74"/>
      <c r="I157" s="74"/>
      <c r="J157" s="74"/>
      <c r="K157" s="74"/>
    </row>
    <row r="158" spans="4:11" ht="15" customHeight="1" x14ac:dyDescent="0.25">
      <c r="G158" t="s">
        <v>150</v>
      </c>
    </row>
    <row r="159" spans="4:11" ht="15" customHeight="1" x14ac:dyDescent="0.25">
      <c r="E159" s="33" t="s">
        <v>155</v>
      </c>
      <c r="G159">
        <v>1</v>
      </c>
      <c r="H159" s="43">
        <f>(COUNTIF($H$8:$H$107,"&lt;1000")/100)*100</f>
        <v>33</v>
      </c>
      <c r="I159" s="44">
        <f t="shared" ref="I159:I163" si="44">-H159+100</f>
        <v>67</v>
      </c>
    </row>
    <row r="160" spans="4:11" ht="15" customHeight="1" x14ac:dyDescent="0.25">
      <c r="E160" s="33" t="s">
        <v>156</v>
      </c>
      <c r="G160">
        <v>2</v>
      </c>
      <c r="H160" s="43">
        <f>(COUNTIF($H$8:$H$107,"&lt;2000")/100)*100</f>
        <v>87</v>
      </c>
      <c r="I160" s="44">
        <f t="shared" si="44"/>
        <v>13</v>
      </c>
    </row>
    <row r="161" spans="5:9" ht="15" customHeight="1" x14ac:dyDescent="0.25">
      <c r="E161" s="33" t="s">
        <v>157</v>
      </c>
      <c r="G161">
        <v>3</v>
      </c>
      <c r="H161" s="43">
        <f>(COUNTIF($H$8:$H$107,"&lt;3000")/100)*100</f>
        <v>99</v>
      </c>
      <c r="I161" s="44">
        <f t="shared" si="44"/>
        <v>1</v>
      </c>
    </row>
    <row r="162" spans="5:9" ht="15" customHeight="1" x14ac:dyDescent="0.25">
      <c r="E162" s="33" t="s">
        <v>158</v>
      </c>
      <c r="G162">
        <v>4</v>
      </c>
      <c r="H162" s="43">
        <f>(COUNTIF($H$8:$H$107,"&lt;4000")/100)*100</f>
        <v>99</v>
      </c>
      <c r="I162" s="44">
        <f t="shared" si="44"/>
        <v>1</v>
      </c>
    </row>
    <row r="163" spans="5:9" ht="15" customHeight="1" x14ac:dyDescent="0.25">
      <c r="E163" s="33" t="s">
        <v>159</v>
      </c>
      <c r="G163">
        <v>5</v>
      </c>
      <c r="H163" s="43">
        <f>(COUNTIF($H$8:$H$107,"&lt;5000")/100)*100</f>
        <v>100</v>
      </c>
      <c r="I163" s="44">
        <f t="shared" si="44"/>
        <v>0</v>
      </c>
    </row>
    <row r="164" spans="5:9" ht="15" customHeight="1" x14ac:dyDescent="0.25">
      <c r="E164" s="33" t="s">
        <v>160</v>
      </c>
      <c r="G164">
        <v>6</v>
      </c>
      <c r="H164" s="43">
        <f>(COUNTIF($H$8:$H$107,"&lt;6000")/100)*100</f>
        <v>100</v>
      </c>
      <c r="I164" s="44">
        <f>-H164+100</f>
        <v>0</v>
      </c>
    </row>
    <row r="165" spans="5:9" ht="15" customHeight="1" x14ac:dyDescent="0.25">
      <c r="E165" s="33" t="s">
        <v>164</v>
      </c>
      <c r="G165">
        <v>7</v>
      </c>
      <c r="H165" s="43">
        <f>(COUNTIF($H$8:$H$107,"&lt;7000")/100)*100</f>
        <v>100</v>
      </c>
      <c r="I165" s="44">
        <f>-H165+100</f>
        <v>0</v>
      </c>
    </row>
    <row r="166" spans="5:9" ht="15" customHeight="1" x14ac:dyDescent="0.25">
      <c r="E166" s="33" t="s">
        <v>161</v>
      </c>
      <c r="G166">
        <v>8</v>
      </c>
      <c r="H166" s="43">
        <f>(COUNTIF($H$8:$H$107,"&lt;8000")/100)*100</f>
        <v>100</v>
      </c>
      <c r="I166" s="44">
        <f>-H166+100</f>
        <v>0</v>
      </c>
    </row>
    <row r="167" spans="5:9" ht="15" customHeight="1" x14ac:dyDescent="0.25">
      <c r="E167" s="33" t="s">
        <v>162</v>
      </c>
      <c r="G167">
        <v>9</v>
      </c>
      <c r="H167" s="43">
        <f>(COUNTIF($H$8:$H$107,"&lt;9000")/100)*100</f>
        <v>100</v>
      </c>
      <c r="I167" s="44">
        <f t="shared" ref="I167" si="45">-H167+100</f>
        <v>0</v>
      </c>
    </row>
    <row r="168" spans="5:9" ht="15" customHeight="1" x14ac:dyDescent="0.25">
      <c r="E168" s="33" t="s">
        <v>163</v>
      </c>
      <c r="G168">
        <v>10</v>
      </c>
      <c r="H168" s="43">
        <f>(COUNTIF($H$8:$H$107,"&lt;10000")/100)*100</f>
        <v>100</v>
      </c>
      <c r="I168" s="44">
        <f>-H168+100</f>
        <v>0</v>
      </c>
    </row>
    <row r="195" spans="4:11" ht="15" customHeight="1" x14ac:dyDescent="0.25">
      <c r="D195" s="74" t="s">
        <v>166</v>
      </c>
      <c r="E195" s="74"/>
      <c r="F195" s="74"/>
      <c r="G195" s="74"/>
      <c r="H195" s="74"/>
      <c r="I195" s="74"/>
      <c r="J195" s="74"/>
      <c r="K195" s="74"/>
    </row>
    <row r="196" spans="4:11" ht="15" customHeight="1" x14ac:dyDescent="0.25">
      <c r="G196" t="s">
        <v>150</v>
      </c>
    </row>
    <row r="197" spans="4:11" ht="15" customHeight="1" x14ac:dyDescent="0.25">
      <c r="E197" s="33" t="s">
        <v>155</v>
      </c>
      <c r="G197">
        <v>1</v>
      </c>
      <c r="H197" s="43">
        <f>(COUNTIF($I$8:$I$107,"&lt;1000")/100)*100</f>
        <v>0</v>
      </c>
      <c r="I197" s="44">
        <f t="shared" ref="I197:I201" si="46">-H197+100</f>
        <v>100</v>
      </c>
    </row>
    <row r="198" spans="4:11" ht="15" customHeight="1" x14ac:dyDescent="0.25">
      <c r="E198" s="33" t="s">
        <v>156</v>
      </c>
      <c r="G198">
        <v>2</v>
      </c>
      <c r="H198" s="43">
        <f>(COUNTIF($I$8:$I$107,"&lt;2000")/100)*100</f>
        <v>1</v>
      </c>
      <c r="I198" s="44">
        <f t="shared" si="46"/>
        <v>99</v>
      </c>
    </row>
    <row r="199" spans="4:11" ht="15" customHeight="1" x14ac:dyDescent="0.25">
      <c r="E199" s="33" t="s">
        <v>157</v>
      </c>
      <c r="G199">
        <v>3</v>
      </c>
      <c r="H199" s="43">
        <f>(COUNTIF($I$8:$I$107,"&lt;3000")/100)*100</f>
        <v>2</v>
      </c>
      <c r="I199" s="44">
        <f t="shared" si="46"/>
        <v>98</v>
      </c>
    </row>
    <row r="200" spans="4:11" ht="15" customHeight="1" x14ac:dyDescent="0.25">
      <c r="E200" s="33" t="s">
        <v>158</v>
      </c>
      <c r="G200">
        <v>4</v>
      </c>
      <c r="H200" s="43">
        <f>(COUNTIF($I$8:$I$107,"&lt;4000")/100)*100</f>
        <v>10</v>
      </c>
      <c r="I200" s="44">
        <f t="shared" si="46"/>
        <v>90</v>
      </c>
    </row>
    <row r="201" spans="4:11" ht="15" customHeight="1" x14ac:dyDescent="0.25">
      <c r="E201" s="33" t="s">
        <v>159</v>
      </c>
      <c r="G201">
        <v>5</v>
      </c>
      <c r="H201" s="43">
        <f>(COUNTIF($I$8:$I$107,"&lt;5000")/100)*100</f>
        <v>23</v>
      </c>
      <c r="I201" s="44">
        <f t="shared" si="46"/>
        <v>77</v>
      </c>
    </row>
    <row r="202" spans="4:11" ht="15" customHeight="1" x14ac:dyDescent="0.25">
      <c r="E202" s="33" t="s">
        <v>160</v>
      </c>
      <c r="G202">
        <v>6</v>
      </c>
      <c r="H202" s="43">
        <f>(COUNTIF($I$8:$I$107,"&lt;6000")/100)*100</f>
        <v>39</v>
      </c>
      <c r="I202" s="44">
        <f>-H202+100</f>
        <v>61</v>
      </c>
    </row>
    <row r="203" spans="4:11" ht="15" customHeight="1" x14ac:dyDescent="0.25">
      <c r="E203" s="33" t="s">
        <v>164</v>
      </c>
      <c r="G203">
        <v>7</v>
      </c>
      <c r="H203" s="43">
        <f>(COUNTIF($I$8:$I$107,"&lt;7000")/100)*100</f>
        <v>55.000000000000007</v>
      </c>
      <c r="I203" s="44">
        <f>-H203+100</f>
        <v>44.999999999999993</v>
      </c>
    </row>
    <row r="204" spans="4:11" ht="15" customHeight="1" x14ac:dyDescent="0.25">
      <c r="E204" s="33" t="s">
        <v>161</v>
      </c>
      <c r="G204">
        <v>8</v>
      </c>
      <c r="H204" s="43">
        <f>(COUNTIF($I$8:$I$107,"&lt;8000")/100)*100</f>
        <v>69</v>
      </c>
      <c r="I204" s="44">
        <f>-H204+100</f>
        <v>31</v>
      </c>
    </row>
    <row r="205" spans="4:11" ht="15" customHeight="1" x14ac:dyDescent="0.25">
      <c r="E205" s="33" t="s">
        <v>162</v>
      </c>
      <c r="G205">
        <v>9</v>
      </c>
      <c r="H205" s="43">
        <f>(COUNTIF($I$8:$I$107,"&lt;9000")/100)*100</f>
        <v>75</v>
      </c>
      <c r="I205" s="44">
        <f t="shared" ref="I205" si="47">-H205+100</f>
        <v>25</v>
      </c>
    </row>
    <row r="206" spans="4:11" ht="15" customHeight="1" x14ac:dyDescent="0.25">
      <c r="E206" s="33" t="s">
        <v>163</v>
      </c>
      <c r="G206">
        <v>10</v>
      </c>
      <c r="H206" s="43">
        <f>(COUNTIF($I$8:$I$107,"&lt;10000")/100)*100</f>
        <v>83</v>
      </c>
      <c r="I206" s="44">
        <f>-H206+100</f>
        <v>17</v>
      </c>
    </row>
  </sheetData>
  <mergeCells count="25">
    <mergeCell ref="A8:A15"/>
    <mergeCell ref="J6:J7"/>
    <mergeCell ref="A89:A97"/>
    <mergeCell ref="A36:A40"/>
    <mergeCell ref="A24:A35"/>
    <mergeCell ref="A66:A68"/>
    <mergeCell ref="A69:A73"/>
    <mergeCell ref="A87:A88"/>
    <mergeCell ref="A74:A86"/>
    <mergeCell ref="A16:A23"/>
    <mergeCell ref="A41:A48"/>
    <mergeCell ref="A49:A65"/>
    <mergeCell ref="K4:P4"/>
    <mergeCell ref="P6:P7"/>
    <mergeCell ref="K6:K7"/>
    <mergeCell ref="N6:N7"/>
    <mergeCell ref="O6:O7"/>
    <mergeCell ref="D195:K195"/>
    <mergeCell ref="L6:L7"/>
    <mergeCell ref="M6:M7"/>
    <mergeCell ref="K5:M5"/>
    <mergeCell ref="N5:P5"/>
    <mergeCell ref="G6:I6"/>
    <mergeCell ref="D115:K115"/>
    <mergeCell ref="D157:K157"/>
  </mergeCells>
  <conditionalFormatting sqref="K8:N107">
    <cfRule type="cellIs" dxfId="6" priority="2" operator="between">
      <formula>0.375</formula>
      <formula>0.5</formula>
    </cfRule>
    <cfRule type="cellIs" dxfId="5" priority="6" operator="between">
      <formula>0.625</formula>
      <formula>6.25</formula>
    </cfRule>
  </conditionalFormatting>
  <conditionalFormatting sqref="K8:P107">
    <cfRule type="cellIs" dxfId="4" priority="1" operator="between">
      <formula>0.5</formula>
      <formula>5</formula>
    </cfRule>
    <cfRule type="cellIs" dxfId="3" priority="3" operator="between">
      <formula>0.45</formula>
      <formula>5.5</formula>
    </cfRule>
  </conditionalFormatting>
  <conditionalFormatting sqref="U8:W107">
    <cfRule type="cellIs" dxfId="2" priority="11" operator="equal">
      <formula>"NO"</formula>
    </cfRule>
    <cfRule type="cellIs" dxfId="1" priority="12" operator="equal">
      <formula>"SI"</formula>
    </cfRule>
  </conditionalFormatting>
  <conditionalFormatting sqref="V8:V107">
    <cfRule type="cellIs" dxfId="0" priority="10" operator="greaterThan">
      <formula>3</formula>
    </cfRule>
  </conditionalFormatting>
  <pageMargins left="0.25" right="0.25" top="0.75" bottom="0.75" header="0.3" footer="0.3"/>
  <pageSetup paperSize="9" scale="39" orientation="landscape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ASTM D638-Probetas</vt:lpstr>
      <vt:lpstr>Plásticos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Saavedra</dc:creator>
  <cp:keywords/>
  <dc:description/>
  <cp:lastModifiedBy>Diego Saavedra</cp:lastModifiedBy>
  <cp:revision/>
  <dcterms:created xsi:type="dcterms:W3CDTF">2022-08-16T16:11:39Z</dcterms:created>
  <dcterms:modified xsi:type="dcterms:W3CDTF">2025-12-13T15:43:03Z</dcterms:modified>
  <cp:category/>
  <cp:contentStatus/>
</cp:coreProperties>
</file>