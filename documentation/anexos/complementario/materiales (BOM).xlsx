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5ce65fe04daea0b/Documentos/Proyecto Final 2022/Maquina de Traccion/Redaccion/costos/git/"/>
    </mc:Choice>
  </mc:AlternateContent>
  <xr:revisionPtr revIDLastSave="26" documentId="13_ncr:1_{2FCBF01D-683D-4881-A990-F3977CD69094}" xr6:coauthVersionLast="47" xr6:coauthVersionMax="47" xr10:uidLastSave="{851571E6-F8B3-4379-9A56-89B25BB2C35E}"/>
  <bookViews>
    <workbookView xWindow="14400" yWindow="8235" windowWidth="43200" windowHeight="23445" xr2:uid="{00000000-000D-0000-FFFF-FFFF00000000}"/>
  </bookViews>
  <sheets>
    <sheet name="BULONERIA" sheetId="1" r:id="rId1"/>
    <sheet name="OTROS" sheetId="4" r:id="rId2"/>
    <sheet name="ELECTRICOS" sheetId="2" r:id="rId3"/>
    <sheet name="MATERIALES METALIC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8" i="2"/>
  <c r="D6" i="2"/>
  <c r="E21" i="3"/>
  <c r="E20" i="3"/>
  <c r="E19" i="3"/>
  <c r="D25" i="2"/>
  <c r="D26" i="2"/>
  <c r="D27" i="2"/>
  <c r="D24" i="2"/>
  <c r="D3" i="2" l="1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  <c r="D40" i="1" s="1"/>
</calcChain>
</file>

<file path=xl/sharedStrings.xml><?xml version="1.0" encoding="utf-8"?>
<sst xmlns="http://schemas.openxmlformats.org/spreadsheetml/2006/main" count="186" uniqueCount="127">
  <si>
    <t>ROTULA SKF SI-12C</t>
  </si>
  <si>
    <t>ROTULA SKF SA-12C</t>
  </si>
  <si>
    <t>ARANDELA GROWER M12</t>
  </si>
  <si>
    <t>TUERCA M12</t>
  </si>
  <si>
    <t>CELDA DE CARGA CZC DE 1000[kg]</t>
  </si>
  <si>
    <t>TORNILLO M6 x 50 [mm] (DIN 912)</t>
  </si>
  <si>
    <t>ARANDELA PLANA M6</t>
  </si>
  <si>
    <t>TUERCA M6</t>
  </si>
  <si>
    <t>TORNILLO M5 x 30 [mm] (DIN 912)</t>
  </si>
  <si>
    <t>ARANDELA PLANA M5</t>
  </si>
  <si>
    <t>TUERCA M5</t>
  </si>
  <si>
    <t>RASPBERRY PI CAMERA HQ</t>
  </si>
  <si>
    <t>LENTE FOCAL FIJA 50[mm]</t>
  </si>
  <si>
    <t>GABINETE ELECTRICO (GABEXEL GE-6050)</t>
  </si>
  <si>
    <t>MICRO INTERRUPTOR FIN DE CARRERA</t>
  </si>
  <si>
    <t>TORNILLO M3 x 15 [mm] (DIN7985)</t>
  </si>
  <si>
    <t>PULSADOR XB4 METALICO VERDE</t>
  </si>
  <si>
    <t>REGLA METALICA 300 [mm]</t>
  </si>
  <si>
    <t>PULSADOR HONGO XB4 GOLPE DE PUÑO</t>
  </si>
  <si>
    <t>TORNILLO M6 x 20 [mm] (DIN 912)</t>
  </si>
  <si>
    <t>CORREA 322-L 050</t>
  </si>
  <si>
    <t>RODAMIENTO 30203</t>
  </si>
  <si>
    <t>RETEN 28x40x8 HMS5 RG</t>
  </si>
  <si>
    <t>ARANDELA MB3</t>
  </si>
  <si>
    <t>TUERCA KM3</t>
  </si>
  <si>
    <t>CHAVETA 5x5x32 (DIN 6885A)</t>
  </si>
  <si>
    <t>PRISIONERO M4 (DIN 916)</t>
  </si>
  <si>
    <t>TORNILLO M6 x 80 [mm] (DIN 912)</t>
  </si>
  <si>
    <t>TORNILLO M6 x 30 [mm] (DIN 912)</t>
  </si>
  <si>
    <t>ARANDELA GROWER M6</t>
  </si>
  <si>
    <t>TORNILLO M8 x 85 [mm] (DIN 912)</t>
  </si>
  <si>
    <t>TORNILLO M8 x 80 [mm] (DIN 912)</t>
  </si>
  <si>
    <t>ARANDELA GROWER M8</t>
  </si>
  <si>
    <t>ARANDELA PLANA M8</t>
  </si>
  <si>
    <t>ARANDELA PLANA M12</t>
  </si>
  <si>
    <t>ANILLO SEEGER PARA EJE Ø12 (DIN 471)</t>
  </si>
  <si>
    <t>TORNILLO M6 x 16 [mm] (DIN 912)</t>
  </si>
  <si>
    <t>TORNILLO M4 x 12 [mm] (DIN 912)</t>
  </si>
  <si>
    <t>TORNILLO M3 x 25 [mm] (DIN 912)</t>
  </si>
  <si>
    <t>TUERCA M3</t>
  </si>
  <si>
    <t>RESORTE (LE 034C 02 M)</t>
  </si>
  <si>
    <t>ANILLO SEEGER PARA EJE Ø8 (DIN 471)</t>
  </si>
  <si>
    <t>RODAMIENTO 61810 2RS</t>
  </si>
  <si>
    <t>RODAMIENTO 6002 2RS</t>
  </si>
  <si>
    <t>RODAMIENTO 608 2RS</t>
  </si>
  <si>
    <t>CORREA 124-XL 037</t>
  </si>
  <si>
    <t>CORREA 124-XL 075</t>
  </si>
  <si>
    <t>TUERCA M8</t>
  </si>
  <si>
    <t>ARANDELA PLANA M4</t>
  </si>
  <si>
    <t>TUERCA M4</t>
  </si>
  <si>
    <t>TORNILLO M4 x 25 [mm] (DIN 912)</t>
  </si>
  <si>
    <t>TORNILLO M4 x 40 [mm] (DIN 912)</t>
  </si>
  <si>
    <t>TORNILLO M3 x 8 [mm] (DIN 912)</t>
  </si>
  <si>
    <t>TORNILLO M3 x 12 [mm] (DIN 912)</t>
  </si>
  <si>
    <t>INSERTO M5 PARA IMPRESIÓN 3D</t>
  </si>
  <si>
    <t>TORNILLO M6 x 100 [mm] (DIN 912)</t>
  </si>
  <si>
    <t>TORNILLO M6 x 35 [mm] (DIN 912)</t>
  </si>
  <si>
    <t>PERILLA TIPO ESTRELLA M4 x 12 [mm]</t>
  </si>
  <si>
    <t>TORNILLO M2 x 8 [mm] (DIN 7985)</t>
  </si>
  <si>
    <t>TORNILLO M3 x 8 [mm] (DIN 7985)</t>
  </si>
  <si>
    <t>TUERCA M2</t>
  </si>
  <si>
    <t>DENOMINACION</t>
  </si>
  <si>
    <t>CANTIDAD</t>
  </si>
  <si>
    <t>FUENTE 24V - 10A</t>
  </si>
  <si>
    <t>FUENTE 5V - 5A</t>
  </si>
  <si>
    <t>ARDUINO UNO R3</t>
  </si>
  <si>
    <t>CONTROLADOR (LEADSHINE DM542E)</t>
  </si>
  <si>
    <t>MOTOR PASO A PASO (LEADSHINE D57CM31-5A)</t>
  </si>
  <si>
    <t>MODULO AMPLIFICADOR HX711</t>
  </si>
  <si>
    <t>CABLE CANAL RANURADO 40x40</t>
  </si>
  <si>
    <t>RIEL DIN</t>
  </si>
  <si>
    <t>BORNERA DE PASO 2,5 [mm] (ZOLODA)</t>
  </si>
  <si>
    <t>EXTREMO BORNERA ALTO DOBLE TORNILLO (ZOLODA)</t>
  </si>
  <si>
    <t>SEPARADOR BORNERA 64X52 [mm]</t>
  </si>
  <si>
    <t>CONECTOR C14 CON SWITCH Y PORTA FUSIBLE</t>
  </si>
  <si>
    <t>REJILLA DE VENTILACION TABLERO ELECTRICO 15 x 15 [cm]</t>
  </si>
  <si>
    <t>ASTM A36</t>
  </si>
  <si>
    <t>[mm]</t>
  </si>
  <si>
    <t>AISI 1045</t>
  </si>
  <si>
    <t>SAE 64</t>
  </si>
  <si>
    <t>ASTM A53</t>
  </si>
  <si>
    <t>CABLE UNIPOLAR 0,25 [mm2] CLASE 5 (KALOP)</t>
  </si>
  <si>
    <t>CABLE UNIPOLAR 1 [mm2] CLASE 5 COLOR ROJO (KALOP)</t>
  </si>
  <si>
    <t>CABLE UNIPOLAR 1 [mm2] CLASE 5 COLOR BLANCO (KALOP)</t>
  </si>
  <si>
    <t>CABLE UNIPOLAR 1 [mm2] CLASE 5 COLOR TIERRA (KALOP)</t>
  </si>
  <si>
    <t>UNIDAD</t>
  </si>
  <si>
    <t>CHAPA1/8"</t>
  </si>
  <si>
    <t>MATERIAL</t>
  </si>
  <si>
    <t>PLANCHUELA 3/4" x 1/8"</t>
  </si>
  <si>
    <t>PLANCHUELA 2,1/4" x 3/8"</t>
  </si>
  <si>
    <t>LAMINADO CUADRADO 3/4"</t>
  </si>
  <si>
    <t>LAMINADO CUADRADO 1,1/4"</t>
  </si>
  <si>
    <t>LAMINADO CUADRADO 2"</t>
  </si>
  <si>
    <t>LAMINADO Ø1/2"</t>
  </si>
  <si>
    <t>LAMINADO Ø3/4"</t>
  </si>
  <si>
    <t>LAMINADO Ø7/8"</t>
  </si>
  <si>
    <t>LAMINADO Ø1"</t>
  </si>
  <si>
    <t>LAMINADO Ø4"</t>
  </si>
  <si>
    <t>LAMINADO Ø5"</t>
  </si>
  <si>
    <t>LAMINADO Ø6"</t>
  </si>
  <si>
    <t>TREFILADO Ø8</t>
  </si>
  <si>
    <t>TREFILADO Ø28</t>
  </si>
  <si>
    <t>BARRA Ø50</t>
  </si>
  <si>
    <t>CAÑO SCH 40 3/4"</t>
  </si>
  <si>
    <t>ESTRUCTURAL 60x60x3,2</t>
  </si>
  <si>
    <t>ESTRUCTURAL 20x20x2</t>
  </si>
  <si>
    <t>PLACA MELAMINA (MEDIA PLACA)</t>
  </si>
  <si>
    <t>CINTA MAGNETICA ADHESIVA (ROLLO 5 [m])</t>
  </si>
  <si>
    <t>PRECIO/UN</t>
  </si>
  <si>
    <t>PRECIO TOTAL</t>
  </si>
  <si>
    <t>RASPBERRY PI 5 (4gb RAM)</t>
  </si>
  <si>
    <t>VARILLA ROSCADA M8 x metro</t>
  </si>
  <si>
    <t>VARILLA ROSCADA M5 x metro</t>
  </si>
  <si>
    <t>VARILLA ROSCADA M4 x metro</t>
  </si>
  <si>
    <t>VARILLA ROSCADA M3 x metro</t>
  </si>
  <si>
    <t>50 [m]</t>
  </si>
  <si>
    <t>25 [m]</t>
  </si>
  <si>
    <t>1 perfil</t>
  </si>
  <si>
    <t>2 perfiles</t>
  </si>
  <si>
    <t>PRECIO</t>
  </si>
  <si>
    <t>LARGO PERFIL</t>
  </si>
  <si>
    <t>4 perfiles</t>
  </si>
  <si>
    <t>PRECIO POR</t>
  </si>
  <si>
    <t>1 RECORTE</t>
  </si>
  <si>
    <t>Micro SD 16 GB</t>
  </si>
  <si>
    <r>
      <t>[m</t>
    </r>
    <r>
      <rPr>
        <sz val="11"/>
        <color theme="1"/>
        <rFont val="Aptos Narrow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</si>
  <si>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ACOPLE FLEXIBLE DE ALUMINIO 8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</si>
</sst>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4" fontId="1" fillId="0" borderId="1" xfId="0" applyNumberFormat="1" applyFont="1" applyBorder="1"/>
    <xf numFmtId="164" fontId="1" fillId="0" borderId="2" xfId="0" applyNumberFormat="1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showGridLines="0" tabSelected="1" workbookViewId="0">
      <selection activeCell="F23" sqref="F23"/>
    </sheetView>
  </sheetViews>
  <sheetFormatPr baseColWidth="10" defaultColWidth="9.140625" defaultRowHeight="15" x14ac:dyDescent="0.25"/>
  <cols>
    <col min="1" max="1" width="40.28515625" bestFit="1" customWidth="1"/>
    <col min="2" max="2" width="10.28515625" bestFit="1" customWidth="1"/>
    <col min="3" max="3" width="11.140625" bestFit="1" customWidth="1"/>
    <col min="4" max="4" width="13.42578125" bestFit="1" customWidth="1"/>
  </cols>
  <sheetData>
    <row r="1" spans="1:4" x14ac:dyDescent="0.25">
      <c r="A1" s="20" t="s">
        <v>61</v>
      </c>
      <c r="B1" s="20" t="s">
        <v>62</v>
      </c>
      <c r="C1" s="20" t="s">
        <v>108</v>
      </c>
      <c r="D1" s="20" t="s">
        <v>109</v>
      </c>
    </row>
    <row r="2" spans="1:4" x14ac:dyDescent="0.25">
      <c r="A2" s="21" t="s">
        <v>34</v>
      </c>
      <c r="B2" s="21">
        <v>1</v>
      </c>
      <c r="C2" s="13">
        <v>88</v>
      </c>
      <c r="D2" s="13">
        <f t="shared" ref="D2:D33" si="0">C2*B2</f>
        <v>88</v>
      </c>
    </row>
    <row r="3" spans="1:4" x14ac:dyDescent="0.25">
      <c r="A3" s="21" t="s">
        <v>2</v>
      </c>
      <c r="B3" s="21">
        <v>2</v>
      </c>
      <c r="C3" s="13">
        <v>98</v>
      </c>
      <c r="D3" s="13">
        <f t="shared" si="0"/>
        <v>196</v>
      </c>
    </row>
    <row r="4" spans="1:4" x14ac:dyDescent="0.25">
      <c r="A4" s="21" t="s">
        <v>3</v>
      </c>
      <c r="B4" s="21">
        <v>2</v>
      </c>
      <c r="C4" s="13">
        <v>101</v>
      </c>
      <c r="D4" s="13">
        <f t="shared" si="0"/>
        <v>202</v>
      </c>
    </row>
    <row r="5" spans="1:4" x14ac:dyDescent="0.25">
      <c r="A5" s="21" t="s">
        <v>31</v>
      </c>
      <c r="B5" s="21">
        <v>8</v>
      </c>
      <c r="C5" s="13">
        <v>566</v>
      </c>
      <c r="D5" s="13">
        <f t="shared" si="0"/>
        <v>4528</v>
      </c>
    </row>
    <row r="6" spans="1:4" x14ac:dyDescent="0.25">
      <c r="A6" s="21" t="s">
        <v>30</v>
      </c>
      <c r="B6" s="21">
        <v>2</v>
      </c>
      <c r="C6" s="13">
        <v>600</v>
      </c>
      <c r="D6" s="13">
        <f t="shared" si="0"/>
        <v>1200</v>
      </c>
    </row>
    <row r="7" spans="1:4" x14ac:dyDescent="0.25">
      <c r="A7" s="21" t="s">
        <v>111</v>
      </c>
      <c r="B7" s="21">
        <v>1</v>
      </c>
      <c r="C7" s="13">
        <v>1555</v>
      </c>
      <c r="D7" s="13">
        <f t="shared" si="0"/>
        <v>1555</v>
      </c>
    </row>
    <row r="8" spans="1:4" x14ac:dyDescent="0.25">
      <c r="A8" s="21" t="s">
        <v>32</v>
      </c>
      <c r="B8" s="21">
        <v>10</v>
      </c>
      <c r="C8" s="13">
        <v>44</v>
      </c>
      <c r="D8" s="13">
        <f t="shared" si="0"/>
        <v>440</v>
      </c>
    </row>
    <row r="9" spans="1:4" x14ac:dyDescent="0.25">
      <c r="A9" s="21" t="s">
        <v>33</v>
      </c>
      <c r="B9" s="21">
        <v>12</v>
      </c>
      <c r="C9" s="13">
        <v>51</v>
      </c>
      <c r="D9" s="13">
        <f t="shared" si="0"/>
        <v>612</v>
      </c>
    </row>
    <row r="10" spans="1:4" x14ac:dyDescent="0.25">
      <c r="A10" s="21" t="s">
        <v>47</v>
      </c>
      <c r="B10" s="21">
        <v>4</v>
      </c>
      <c r="C10" s="13">
        <v>32</v>
      </c>
      <c r="D10" s="13">
        <f t="shared" si="0"/>
        <v>128</v>
      </c>
    </row>
    <row r="11" spans="1:4" x14ac:dyDescent="0.25">
      <c r="A11" s="21" t="s">
        <v>36</v>
      </c>
      <c r="B11" s="21">
        <v>6</v>
      </c>
      <c r="C11" s="13">
        <v>83</v>
      </c>
      <c r="D11" s="13">
        <f t="shared" si="0"/>
        <v>498</v>
      </c>
    </row>
    <row r="12" spans="1:4" x14ac:dyDescent="0.25">
      <c r="A12" s="21" t="s">
        <v>28</v>
      </c>
      <c r="B12" s="21">
        <v>12</v>
      </c>
      <c r="C12" s="13">
        <v>112</v>
      </c>
      <c r="D12" s="13">
        <f t="shared" si="0"/>
        <v>1344</v>
      </c>
    </row>
    <row r="13" spans="1:4" x14ac:dyDescent="0.25">
      <c r="A13" s="21" t="s">
        <v>56</v>
      </c>
      <c r="B13" s="21">
        <v>12</v>
      </c>
      <c r="C13" s="13">
        <v>120</v>
      </c>
      <c r="D13" s="13">
        <f t="shared" si="0"/>
        <v>1440</v>
      </c>
    </row>
    <row r="14" spans="1:4" x14ac:dyDescent="0.25">
      <c r="A14" s="21" t="s">
        <v>5</v>
      </c>
      <c r="B14" s="21">
        <v>2</v>
      </c>
      <c r="C14" s="13">
        <v>172</v>
      </c>
      <c r="D14" s="13">
        <f t="shared" si="0"/>
        <v>344</v>
      </c>
    </row>
    <row r="15" spans="1:4" x14ac:dyDescent="0.25">
      <c r="A15" s="21" t="s">
        <v>27</v>
      </c>
      <c r="B15" s="21">
        <v>20</v>
      </c>
      <c r="C15" s="13">
        <v>445</v>
      </c>
      <c r="D15" s="13">
        <f t="shared" si="0"/>
        <v>8900</v>
      </c>
    </row>
    <row r="16" spans="1:4" x14ac:dyDescent="0.25">
      <c r="A16" s="21" t="s">
        <v>55</v>
      </c>
      <c r="B16" s="21">
        <v>4</v>
      </c>
      <c r="C16" s="13">
        <v>708</v>
      </c>
      <c r="D16" s="13">
        <f t="shared" si="0"/>
        <v>2832</v>
      </c>
    </row>
    <row r="17" spans="1:4" x14ac:dyDescent="0.25">
      <c r="A17" s="21" t="s">
        <v>29</v>
      </c>
      <c r="B17" s="21">
        <v>50</v>
      </c>
      <c r="C17" s="13">
        <v>26</v>
      </c>
      <c r="D17" s="13">
        <f t="shared" si="0"/>
        <v>1300</v>
      </c>
    </row>
    <row r="18" spans="1:4" x14ac:dyDescent="0.25">
      <c r="A18" s="21" t="s">
        <v>6</v>
      </c>
      <c r="B18" s="21">
        <v>82</v>
      </c>
      <c r="C18" s="13">
        <v>21</v>
      </c>
      <c r="D18" s="13">
        <f t="shared" si="0"/>
        <v>1722</v>
      </c>
    </row>
    <row r="19" spans="1:4" x14ac:dyDescent="0.25">
      <c r="A19" s="21" t="s">
        <v>7</v>
      </c>
      <c r="B19" s="21">
        <v>44</v>
      </c>
      <c r="C19" s="13">
        <v>16</v>
      </c>
      <c r="D19" s="13">
        <f t="shared" si="0"/>
        <v>704</v>
      </c>
    </row>
    <row r="20" spans="1:4" x14ac:dyDescent="0.25">
      <c r="A20" s="21" t="s">
        <v>8</v>
      </c>
      <c r="B20" s="21">
        <v>6</v>
      </c>
      <c r="C20" s="13">
        <v>85</v>
      </c>
      <c r="D20" s="13">
        <f t="shared" si="0"/>
        <v>510</v>
      </c>
    </row>
    <row r="21" spans="1:4" x14ac:dyDescent="0.25">
      <c r="A21" s="21" t="s">
        <v>112</v>
      </c>
      <c r="B21" s="21">
        <v>1</v>
      </c>
      <c r="C21" s="13">
        <v>954</v>
      </c>
      <c r="D21" s="13">
        <f t="shared" si="0"/>
        <v>954</v>
      </c>
    </row>
    <row r="22" spans="1:4" x14ac:dyDescent="0.25">
      <c r="A22" s="21" t="s">
        <v>9</v>
      </c>
      <c r="B22" s="21">
        <v>23</v>
      </c>
      <c r="C22" s="13">
        <v>12</v>
      </c>
      <c r="D22" s="13">
        <f t="shared" si="0"/>
        <v>276</v>
      </c>
    </row>
    <row r="23" spans="1:4" x14ac:dyDescent="0.25">
      <c r="A23" s="21" t="s">
        <v>10</v>
      </c>
      <c r="B23" s="21">
        <v>6</v>
      </c>
      <c r="C23" s="13">
        <v>14</v>
      </c>
      <c r="D23" s="13">
        <f t="shared" si="0"/>
        <v>84</v>
      </c>
    </row>
    <row r="24" spans="1:4" x14ac:dyDescent="0.25">
      <c r="A24" s="21" t="s">
        <v>51</v>
      </c>
      <c r="B24" s="21">
        <v>4</v>
      </c>
      <c r="C24" s="13">
        <v>122</v>
      </c>
      <c r="D24" s="13">
        <f t="shared" si="0"/>
        <v>488</v>
      </c>
    </row>
    <row r="25" spans="1:4" x14ac:dyDescent="0.25">
      <c r="A25" s="21" t="s">
        <v>50</v>
      </c>
      <c r="B25" s="21">
        <v>8</v>
      </c>
      <c r="C25" s="13">
        <v>75</v>
      </c>
      <c r="D25" s="13">
        <f t="shared" si="0"/>
        <v>600</v>
      </c>
    </row>
    <row r="26" spans="1:4" x14ac:dyDescent="0.25">
      <c r="A26" s="21" t="s">
        <v>37</v>
      </c>
      <c r="B26" s="21">
        <v>10</v>
      </c>
      <c r="C26" s="13">
        <v>62</v>
      </c>
      <c r="D26" s="13">
        <f t="shared" si="0"/>
        <v>620</v>
      </c>
    </row>
    <row r="27" spans="1:4" x14ac:dyDescent="0.25">
      <c r="A27" s="21" t="s">
        <v>113</v>
      </c>
      <c r="B27" s="21">
        <v>1</v>
      </c>
      <c r="C27" s="13">
        <v>1968</v>
      </c>
      <c r="D27" s="13">
        <f t="shared" si="0"/>
        <v>1968</v>
      </c>
    </row>
    <row r="28" spans="1:4" x14ac:dyDescent="0.25">
      <c r="A28" s="21" t="s">
        <v>48</v>
      </c>
      <c r="B28" s="21">
        <v>16</v>
      </c>
      <c r="C28" s="13">
        <v>12</v>
      </c>
      <c r="D28" s="13">
        <f t="shared" si="0"/>
        <v>192</v>
      </c>
    </row>
    <row r="29" spans="1:4" x14ac:dyDescent="0.25">
      <c r="A29" s="21" t="s">
        <v>49</v>
      </c>
      <c r="B29" s="21">
        <v>26</v>
      </c>
      <c r="C29" s="13">
        <v>12</v>
      </c>
      <c r="D29" s="13">
        <f t="shared" si="0"/>
        <v>312</v>
      </c>
    </row>
    <row r="30" spans="1:4" x14ac:dyDescent="0.25">
      <c r="A30" s="21" t="s">
        <v>59</v>
      </c>
      <c r="B30" s="21">
        <v>16</v>
      </c>
      <c r="C30" s="13">
        <v>28</v>
      </c>
      <c r="D30" s="13">
        <f t="shared" si="0"/>
        <v>448</v>
      </c>
    </row>
    <row r="31" spans="1:4" x14ac:dyDescent="0.25">
      <c r="A31" s="21" t="s">
        <v>52</v>
      </c>
      <c r="B31" s="21">
        <v>2</v>
      </c>
      <c r="C31" s="13">
        <v>63</v>
      </c>
      <c r="D31" s="13">
        <f t="shared" si="0"/>
        <v>126</v>
      </c>
    </row>
    <row r="32" spans="1:4" x14ac:dyDescent="0.25">
      <c r="A32" s="21" t="s">
        <v>53</v>
      </c>
      <c r="B32" s="21">
        <v>2</v>
      </c>
      <c r="C32" s="13">
        <v>72</v>
      </c>
      <c r="D32" s="13">
        <f t="shared" si="0"/>
        <v>144</v>
      </c>
    </row>
    <row r="33" spans="1:4" x14ac:dyDescent="0.25">
      <c r="A33" s="21" t="s">
        <v>38</v>
      </c>
      <c r="B33" s="21">
        <v>1</v>
      </c>
      <c r="C33" s="13">
        <v>96</v>
      </c>
      <c r="D33" s="13">
        <f t="shared" si="0"/>
        <v>96</v>
      </c>
    </row>
    <row r="34" spans="1:4" x14ac:dyDescent="0.25">
      <c r="A34" s="21" t="s">
        <v>114</v>
      </c>
      <c r="B34" s="21">
        <v>1</v>
      </c>
      <c r="C34" s="13">
        <v>2000</v>
      </c>
      <c r="D34" s="13">
        <f t="shared" ref="D34:D39" si="1">C34*B34</f>
        <v>2000</v>
      </c>
    </row>
    <row r="35" spans="1:4" x14ac:dyDescent="0.25">
      <c r="A35" s="21" t="s">
        <v>39</v>
      </c>
      <c r="B35" s="21">
        <v>7</v>
      </c>
      <c r="C35" s="13">
        <v>11</v>
      </c>
      <c r="D35" s="13">
        <f t="shared" si="1"/>
        <v>77</v>
      </c>
    </row>
    <row r="36" spans="1:4" x14ac:dyDescent="0.25">
      <c r="A36" s="21" t="s">
        <v>58</v>
      </c>
      <c r="B36" s="21">
        <v>4</v>
      </c>
      <c r="C36" s="13">
        <v>25</v>
      </c>
      <c r="D36" s="13">
        <f t="shared" si="1"/>
        <v>100</v>
      </c>
    </row>
    <row r="37" spans="1:4" x14ac:dyDescent="0.25">
      <c r="A37" s="21" t="s">
        <v>60</v>
      </c>
      <c r="B37" s="21">
        <v>4</v>
      </c>
      <c r="C37" s="13">
        <v>10</v>
      </c>
      <c r="D37" s="13">
        <f t="shared" si="1"/>
        <v>40</v>
      </c>
    </row>
    <row r="38" spans="1:4" x14ac:dyDescent="0.25">
      <c r="A38" s="21" t="s">
        <v>15</v>
      </c>
      <c r="B38" s="21">
        <v>4</v>
      </c>
      <c r="C38" s="13">
        <v>31</v>
      </c>
      <c r="D38" s="13">
        <f t="shared" si="1"/>
        <v>124</v>
      </c>
    </row>
    <row r="39" spans="1:4" x14ac:dyDescent="0.25">
      <c r="A39" s="21" t="s">
        <v>19</v>
      </c>
      <c r="B39" s="21">
        <v>2</v>
      </c>
      <c r="C39" s="13">
        <v>88</v>
      </c>
      <c r="D39" s="13">
        <f t="shared" si="1"/>
        <v>176</v>
      </c>
    </row>
    <row r="40" spans="1:4" x14ac:dyDescent="0.25">
      <c r="D40" s="3">
        <f>SUM(D2:D39)</f>
        <v>37368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85A3-1647-4AA2-BC7B-77FDC6AD6ADA}">
  <dimension ref="A1:D25"/>
  <sheetViews>
    <sheetView showGridLines="0" workbookViewId="0">
      <selection activeCell="D36" sqref="D36"/>
    </sheetView>
  </sheetViews>
  <sheetFormatPr baseColWidth="10" defaultRowHeight="15" x14ac:dyDescent="0.25"/>
  <cols>
    <col min="1" max="1" width="40.28515625" bestFit="1" customWidth="1"/>
    <col min="2" max="2" width="10.28515625" bestFit="1" customWidth="1"/>
    <col min="3" max="3" width="11.140625" bestFit="1" customWidth="1"/>
    <col min="4" max="4" width="13.42578125" bestFit="1" customWidth="1"/>
  </cols>
  <sheetData>
    <row r="1" spans="1:4" x14ac:dyDescent="0.25">
      <c r="A1" s="20" t="s">
        <v>61</v>
      </c>
      <c r="B1" s="20" t="s">
        <v>62</v>
      </c>
      <c r="C1" s="20" t="s">
        <v>108</v>
      </c>
      <c r="D1" s="20" t="s">
        <v>109</v>
      </c>
    </row>
    <row r="2" spans="1:4" x14ac:dyDescent="0.25">
      <c r="A2" s="21" t="s">
        <v>57</v>
      </c>
      <c r="B2" s="21">
        <v>3</v>
      </c>
      <c r="C2" s="13">
        <v>2500</v>
      </c>
      <c r="D2" s="13">
        <f t="shared" ref="D2:D24" si="0">C2*B2</f>
        <v>7500</v>
      </c>
    </row>
    <row r="3" spans="1:4" x14ac:dyDescent="0.25">
      <c r="A3" s="21" t="s">
        <v>54</v>
      </c>
      <c r="B3" s="21">
        <v>6</v>
      </c>
      <c r="C3" s="13">
        <v>650</v>
      </c>
      <c r="D3" s="13">
        <f t="shared" si="0"/>
        <v>3900</v>
      </c>
    </row>
    <row r="4" spans="1:4" x14ac:dyDescent="0.25">
      <c r="A4" s="21" t="s">
        <v>20</v>
      </c>
      <c r="B4" s="21">
        <v>2</v>
      </c>
      <c r="C4" s="13">
        <v>18500</v>
      </c>
      <c r="D4" s="13">
        <f t="shared" si="0"/>
        <v>37000</v>
      </c>
    </row>
    <row r="5" spans="1:4" x14ac:dyDescent="0.25">
      <c r="A5" s="21" t="s">
        <v>45</v>
      </c>
      <c r="B5" s="21">
        <v>1</v>
      </c>
      <c r="C5" s="13">
        <v>8500</v>
      </c>
      <c r="D5" s="13">
        <f t="shared" si="0"/>
        <v>8500</v>
      </c>
    </row>
    <row r="6" spans="1:4" x14ac:dyDescent="0.25">
      <c r="A6" s="21" t="s">
        <v>46</v>
      </c>
      <c r="B6" s="21">
        <v>1</v>
      </c>
      <c r="C6" s="13">
        <v>12500</v>
      </c>
      <c r="D6" s="13">
        <f t="shared" si="0"/>
        <v>12500</v>
      </c>
    </row>
    <row r="7" spans="1:4" x14ac:dyDescent="0.25">
      <c r="A7" s="21" t="s">
        <v>0</v>
      </c>
      <c r="B7" s="21">
        <v>1</v>
      </c>
      <c r="C7" s="13">
        <v>7800</v>
      </c>
      <c r="D7" s="13">
        <f t="shared" si="0"/>
        <v>7800</v>
      </c>
    </row>
    <row r="8" spans="1:4" x14ac:dyDescent="0.25">
      <c r="A8" s="21" t="s">
        <v>1</v>
      </c>
      <c r="B8" s="21">
        <v>1</v>
      </c>
      <c r="C8" s="13">
        <v>7800</v>
      </c>
      <c r="D8" s="13">
        <f t="shared" si="0"/>
        <v>7800</v>
      </c>
    </row>
    <row r="9" spans="1:4" x14ac:dyDescent="0.25">
      <c r="A9" s="21" t="s">
        <v>21</v>
      </c>
      <c r="B9" s="21">
        <v>2</v>
      </c>
      <c r="C9" s="13">
        <v>4800</v>
      </c>
      <c r="D9" s="13">
        <f t="shared" si="0"/>
        <v>9600</v>
      </c>
    </row>
    <row r="10" spans="1:4" x14ac:dyDescent="0.25">
      <c r="A10" s="21" t="s">
        <v>42</v>
      </c>
      <c r="B10" s="21">
        <v>1</v>
      </c>
      <c r="C10" s="13">
        <v>26000</v>
      </c>
      <c r="D10" s="13">
        <f t="shared" si="0"/>
        <v>26000</v>
      </c>
    </row>
    <row r="11" spans="1:4" x14ac:dyDescent="0.25">
      <c r="A11" s="21" t="s">
        <v>43</v>
      </c>
      <c r="B11" s="21">
        <v>2</v>
      </c>
      <c r="C11" s="13">
        <v>5200</v>
      </c>
      <c r="D11" s="13">
        <f t="shared" si="0"/>
        <v>10400</v>
      </c>
    </row>
    <row r="12" spans="1:4" x14ac:dyDescent="0.25">
      <c r="A12" s="21" t="s">
        <v>44</v>
      </c>
      <c r="B12" s="21">
        <v>4</v>
      </c>
      <c r="C12" s="13">
        <v>1750</v>
      </c>
      <c r="D12" s="13">
        <f t="shared" si="0"/>
        <v>7000</v>
      </c>
    </row>
    <row r="13" spans="1:4" x14ac:dyDescent="0.25">
      <c r="A13" s="21" t="s">
        <v>22</v>
      </c>
      <c r="B13" s="21">
        <v>4</v>
      </c>
      <c r="C13" s="13">
        <v>3200</v>
      </c>
      <c r="D13" s="13">
        <f t="shared" si="0"/>
        <v>12800</v>
      </c>
    </row>
    <row r="14" spans="1:4" x14ac:dyDescent="0.25">
      <c r="A14" s="21" t="s">
        <v>23</v>
      </c>
      <c r="B14" s="21">
        <v>2</v>
      </c>
      <c r="C14" s="13">
        <v>1400</v>
      </c>
      <c r="D14" s="13">
        <f t="shared" si="0"/>
        <v>2800</v>
      </c>
    </row>
    <row r="15" spans="1:4" x14ac:dyDescent="0.25">
      <c r="A15" s="21" t="s">
        <v>24</v>
      </c>
      <c r="B15" s="21">
        <v>2</v>
      </c>
      <c r="C15" s="13">
        <v>3500</v>
      </c>
      <c r="D15" s="13">
        <f t="shared" si="0"/>
        <v>7000</v>
      </c>
    </row>
    <row r="16" spans="1:4" x14ac:dyDescent="0.25">
      <c r="A16" s="21" t="s">
        <v>25</v>
      </c>
      <c r="B16" s="21">
        <v>2</v>
      </c>
      <c r="C16" s="13">
        <v>1000</v>
      </c>
      <c r="D16" s="13">
        <f t="shared" si="0"/>
        <v>2000</v>
      </c>
    </row>
    <row r="17" spans="1:4" x14ac:dyDescent="0.25">
      <c r="A17" s="21" t="s">
        <v>26</v>
      </c>
      <c r="B17" s="21">
        <v>4</v>
      </c>
      <c r="C17" s="13">
        <v>350</v>
      </c>
      <c r="D17" s="13">
        <f t="shared" si="0"/>
        <v>1400</v>
      </c>
    </row>
    <row r="18" spans="1:4" x14ac:dyDescent="0.25">
      <c r="A18" s="21" t="s">
        <v>35</v>
      </c>
      <c r="B18" s="21">
        <v>2</v>
      </c>
      <c r="C18" s="13">
        <v>900</v>
      </c>
      <c r="D18" s="13">
        <f t="shared" si="0"/>
        <v>1800</v>
      </c>
    </row>
    <row r="19" spans="1:4" x14ac:dyDescent="0.25">
      <c r="A19" s="21" t="s">
        <v>41</v>
      </c>
      <c r="B19" s="21">
        <v>1</v>
      </c>
      <c r="C19" s="13">
        <v>800</v>
      </c>
      <c r="D19" s="13">
        <f t="shared" si="0"/>
        <v>800</v>
      </c>
    </row>
    <row r="20" spans="1:4" x14ac:dyDescent="0.25">
      <c r="A20" s="21" t="s">
        <v>40</v>
      </c>
      <c r="B20" s="21">
        <v>4</v>
      </c>
      <c r="C20" s="13">
        <v>2000</v>
      </c>
      <c r="D20" s="13">
        <f t="shared" si="0"/>
        <v>8000</v>
      </c>
    </row>
    <row r="21" spans="1:4" x14ac:dyDescent="0.25">
      <c r="A21" s="21" t="s">
        <v>126</v>
      </c>
      <c r="B21" s="21">
        <v>1</v>
      </c>
      <c r="C21" s="13">
        <v>4500</v>
      </c>
      <c r="D21" s="13">
        <f t="shared" si="0"/>
        <v>4500</v>
      </c>
    </row>
    <row r="22" spans="1:4" x14ac:dyDescent="0.25">
      <c r="A22" s="21" t="s">
        <v>107</v>
      </c>
      <c r="B22" s="21">
        <v>1</v>
      </c>
      <c r="C22" s="13">
        <v>5000</v>
      </c>
      <c r="D22" s="13">
        <f t="shared" si="0"/>
        <v>5000</v>
      </c>
    </row>
    <row r="23" spans="1:4" x14ac:dyDescent="0.25">
      <c r="A23" s="21" t="s">
        <v>106</v>
      </c>
      <c r="B23" s="21">
        <v>1</v>
      </c>
      <c r="C23" s="13">
        <v>17000</v>
      </c>
      <c r="D23" s="13">
        <f t="shared" si="0"/>
        <v>17000</v>
      </c>
    </row>
    <row r="24" spans="1:4" x14ac:dyDescent="0.25">
      <c r="A24" s="21" t="s">
        <v>17</v>
      </c>
      <c r="B24" s="21">
        <v>1</v>
      </c>
      <c r="C24" s="13">
        <v>3500</v>
      </c>
      <c r="D24" s="13">
        <f t="shared" si="0"/>
        <v>3500</v>
      </c>
    </row>
    <row r="25" spans="1:4" x14ac:dyDescent="0.25">
      <c r="D25" s="3">
        <f>SUM(D2:D24)</f>
        <v>204600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4103-A344-40B9-B444-537560B59D18}">
  <dimension ref="A1:D28"/>
  <sheetViews>
    <sheetView showGridLines="0" workbookViewId="0">
      <selection activeCell="F12" sqref="F12"/>
    </sheetView>
  </sheetViews>
  <sheetFormatPr baseColWidth="10" defaultRowHeight="15" x14ac:dyDescent="0.25"/>
  <cols>
    <col min="1" max="1" width="53.85546875" bestFit="1" customWidth="1"/>
    <col min="2" max="2" width="10.28515625" bestFit="1" customWidth="1"/>
    <col min="3" max="3" width="11.140625" bestFit="1" customWidth="1"/>
    <col min="4" max="4" width="13.42578125" bestFit="1" customWidth="1"/>
  </cols>
  <sheetData>
    <row r="1" spans="1:4" x14ac:dyDescent="0.25">
      <c r="A1" s="8" t="s">
        <v>61</v>
      </c>
      <c r="B1" s="9" t="s">
        <v>62</v>
      </c>
      <c r="C1" s="9" t="s">
        <v>108</v>
      </c>
      <c r="D1" s="10" t="s">
        <v>109</v>
      </c>
    </row>
    <row r="2" spans="1:4" x14ac:dyDescent="0.25">
      <c r="A2" s="11" t="s">
        <v>64</v>
      </c>
      <c r="B2" s="12">
        <v>1</v>
      </c>
      <c r="C2" s="13">
        <v>1500</v>
      </c>
      <c r="D2" s="14">
        <f t="shared" ref="D2:D23" si="0">C2*B2</f>
        <v>1500</v>
      </c>
    </row>
    <row r="3" spans="1:4" x14ac:dyDescent="0.25">
      <c r="A3" s="11" t="s">
        <v>63</v>
      </c>
      <c r="B3" s="12">
        <v>1</v>
      </c>
      <c r="C3" s="13">
        <v>25000</v>
      </c>
      <c r="D3" s="14">
        <f t="shared" si="0"/>
        <v>25000</v>
      </c>
    </row>
    <row r="4" spans="1:4" x14ac:dyDescent="0.25">
      <c r="A4" s="11" t="s">
        <v>65</v>
      </c>
      <c r="B4" s="12">
        <v>1</v>
      </c>
      <c r="C4" s="13">
        <v>9500</v>
      </c>
      <c r="D4" s="14">
        <f t="shared" si="0"/>
        <v>9500</v>
      </c>
    </row>
    <row r="5" spans="1:4" x14ac:dyDescent="0.25">
      <c r="A5" s="11" t="s">
        <v>110</v>
      </c>
      <c r="B5" s="12">
        <v>1</v>
      </c>
      <c r="C5" s="13">
        <v>110000</v>
      </c>
      <c r="D5" s="14">
        <f t="shared" si="0"/>
        <v>110000</v>
      </c>
    </row>
    <row r="6" spans="1:4" x14ac:dyDescent="0.25">
      <c r="A6" s="11" t="s">
        <v>124</v>
      </c>
      <c r="B6" s="12">
        <v>1</v>
      </c>
      <c r="C6" s="13">
        <v>12000</v>
      </c>
      <c r="D6" s="14">
        <f t="shared" si="0"/>
        <v>12000</v>
      </c>
    </row>
    <row r="7" spans="1:4" x14ac:dyDescent="0.25">
      <c r="A7" s="15" t="s">
        <v>11</v>
      </c>
      <c r="B7" s="12">
        <v>1</v>
      </c>
      <c r="C7" s="13">
        <v>120000</v>
      </c>
      <c r="D7" s="14">
        <f t="shared" si="0"/>
        <v>120000</v>
      </c>
    </row>
    <row r="8" spans="1:4" x14ac:dyDescent="0.25">
      <c r="A8" s="15" t="s">
        <v>12</v>
      </c>
      <c r="B8" s="12">
        <v>1</v>
      </c>
      <c r="C8" s="13">
        <v>75000</v>
      </c>
      <c r="D8" s="14">
        <f t="shared" si="0"/>
        <v>75000</v>
      </c>
    </row>
    <row r="9" spans="1:4" x14ac:dyDescent="0.25">
      <c r="A9" s="11" t="s">
        <v>66</v>
      </c>
      <c r="B9" s="12">
        <v>1</v>
      </c>
      <c r="C9" s="13">
        <v>110000</v>
      </c>
      <c r="D9" s="14">
        <f t="shared" si="0"/>
        <v>110000</v>
      </c>
    </row>
    <row r="10" spans="1:4" x14ac:dyDescent="0.25">
      <c r="A10" s="15" t="s">
        <v>67</v>
      </c>
      <c r="B10" s="12">
        <v>1</v>
      </c>
      <c r="C10" s="13">
        <v>105000</v>
      </c>
      <c r="D10" s="14">
        <f t="shared" si="0"/>
        <v>105000</v>
      </c>
    </row>
    <row r="11" spans="1:4" x14ac:dyDescent="0.25">
      <c r="A11" s="15" t="s">
        <v>68</v>
      </c>
      <c r="B11" s="12">
        <v>1</v>
      </c>
      <c r="C11" s="13">
        <v>2500</v>
      </c>
      <c r="D11" s="14">
        <f t="shared" si="0"/>
        <v>2500</v>
      </c>
    </row>
    <row r="12" spans="1:4" x14ac:dyDescent="0.25">
      <c r="A12" s="15" t="s">
        <v>4</v>
      </c>
      <c r="B12" s="12">
        <v>1</v>
      </c>
      <c r="C12" s="13">
        <v>384000</v>
      </c>
      <c r="D12" s="14">
        <f t="shared" si="0"/>
        <v>384000</v>
      </c>
    </row>
    <row r="13" spans="1:4" x14ac:dyDescent="0.25">
      <c r="A13" s="15" t="s">
        <v>69</v>
      </c>
      <c r="B13" s="12">
        <v>2</v>
      </c>
      <c r="C13" s="13">
        <v>7500</v>
      </c>
      <c r="D13" s="14">
        <f t="shared" si="0"/>
        <v>15000</v>
      </c>
    </row>
    <row r="14" spans="1:4" x14ac:dyDescent="0.25">
      <c r="A14" s="15" t="s">
        <v>70</v>
      </c>
      <c r="B14" s="12">
        <v>1</v>
      </c>
      <c r="C14" s="13">
        <v>7000</v>
      </c>
      <c r="D14" s="14">
        <f t="shared" si="0"/>
        <v>7000</v>
      </c>
    </row>
    <row r="15" spans="1:4" x14ac:dyDescent="0.25">
      <c r="A15" s="15" t="s">
        <v>71</v>
      </c>
      <c r="B15" s="12">
        <v>37</v>
      </c>
      <c r="C15" s="13">
        <v>2200</v>
      </c>
      <c r="D15" s="14">
        <f t="shared" si="0"/>
        <v>81400</v>
      </c>
    </row>
    <row r="16" spans="1:4" x14ac:dyDescent="0.25">
      <c r="A16" s="15" t="s">
        <v>72</v>
      </c>
      <c r="B16" s="12">
        <v>3</v>
      </c>
      <c r="C16" s="13">
        <v>2100</v>
      </c>
      <c r="D16" s="14">
        <f t="shared" si="0"/>
        <v>6300</v>
      </c>
    </row>
    <row r="17" spans="1:4" x14ac:dyDescent="0.25">
      <c r="A17" s="15" t="s">
        <v>73</v>
      </c>
      <c r="B17" s="12">
        <v>2</v>
      </c>
      <c r="C17" s="13">
        <v>1900</v>
      </c>
      <c r="D17" s="14">
        <f t="shared" si="0"/>
        <v>3800</v>
      </c>
    </row>
    <row r="18" spans="1:4" x14ac:dyDescent="0.25">
      <c r="A18" s="15" t="s">
        <v>74</v>
      </c>
      <c r="B18" s="12">
        <v>1</v>
      </c>
      <c r="C18" s="13">
        <v>6200</v>
      </c>
      <c r="D18" s="14">
        <f t="shared" si="0"/>
        <v>6200</v>
      </c>
    </row>
    <row r="19" spans="1:4" x14ac:dyDescent="0.25">
      <c r="A19" s="15" t="s">
        <v>75</v>
      </c>
      <c r="B19" s="12">
        <v>2</v>
      </c>
      <c r="C19" s="13">
        <v>6500</v>
      </c>
      <c r="D19" s="14">
        <f t="shared" si="0"/>
        <v>13000</v>
      </c>
    </row>
    <row r="20" spans="1:4" x14ac:dyDescent="0.25">
      <c r="A20" s="15" t="s">
        <v>13</v>
      </c>
      <c r="B20" s="12">
        <v>1</v>
      </c>
      <c r="C20" s="13">
        <v>217000</v>
      </c>
      <c r="D20" s="14">
        <f t="shared" si="0"/>
        <v>217000</v>
      </c>
    </row>
    <row r="21" spans="1:4" x14ac:dyDescent="0.25">
      <c r="A21" s="15" t="s">
        <v>14</v>
      </c>
      <c r="B21" s="12">
        <v>2</v>
      </c>
      <c r="C21" s="13">
        <v>5500</v>
      </c>
      <c r="D21" s="14">
        <f t="shared" si="0"/>
        <v>11000</v>
      </c>
    </row>
    <row r="22" spans="1:4" x14ac:dyDescent="0.25">
      <c r="A22" s="15" t="s">
        <v>16</v>
      </c>
      <c r="B22" s="12">
        <v>3</v>
      </c>
      <c r="C22" s="13">
        <v>6500</v>
      </c>
      <c r="D22" s="14">
        <f t="shared" si="0"/>
        <v>19500</v>
      </c>
    </row>
    <row r="23" spans="1:4" x14ac:dyDescent="0.25">
      <c r="A23" s="15" t="s">
        <v>18</v>
      </c>
      <c r="B23" s="12">
        <v>1</v>
      </c>
      <c r="C23" s="13">
        <v>8250</v>
      </c>
      <c r="D23" s="14">
        <f t="shared" si="0"/>
        <v>8250</v>
      </c>
    </row>
    <row r="24" spans="1:4" x14ac:dyDescent="0.25">
      <c r="A24" s="15" t="s">
        <v>81</v>
      </c>
      <c r="B24" s="12" t="s">
        <v>115</v>
      </c>
      <c r="C24" s="13">
        <v>8500</v>
      </c>
      <c r="D24" s="14">
        <f>C24</f>
        <v>8500</v>
      </c>
    </row>
    <row r="25" spans="1:4" x14ac:dyDescent="0.25">
      <c r="A25" s="15" t="s">
        <v>84</v>
      </c>
      <c r="B25" s="12" t="s">
        <v>116</v>
      </c>
      <c r="C25" s="13">
        <v>9750</v>
      </c>
      <c r="D25" s="14">
        <f t="shared" ref="D25:D27" si="1">C25</f>
        <v>9750</v>
      </c>
    </row>
    <row r="26" spans="1:4" x14ac:dyDescent="0.25">
      <c r="A26" s="15" t="s">
        <v>82</v>
      </c>
      <c r="B26" s="12" t="s">
        <v>116</v>
      </c>
      <c r="C26" s="13">
        <v>9750</v>
      </c>
      <c r="D26" s="14">
        <f t="shared" si="1"/>
        <v>9750</v>
      </c>
    </row>
    <row r="27" spans="1:4" ht="15.75" thickBot="1" x14ac:dyDescent="0.3">
      <c r="A27" s="16" t="s">
        <v>83</v>
      </c>
      <c r="B27" s="17" t="s">
        <v>116</v>
      </c>
      <c r="C27" s="18">
        <v>9750</v>
      </c>
      <c r="D27" s="19">
        <f t="shared" si="1"/>
        <v>9750</v>
      </c>
    </row>
    <row r="28" spans="1:4" ht="15.75" thickBot="1" x14ac:dyDescent="0.3">
      <c r="C28" s="2"/>
      <c r="D28" s="4">
        <f>SUM(D2:D27)</f>
        <v>1380700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2EF3-1022-4F5E-B163-931C56F4D385}">
  <dimension ref="A1:G21"/>
  <sheetViews>
    <sheetView showGridLines="0" workbookViewId="0">
      <selection activeCell="D2" sqref="D2"/>
    </sheetView>
  </sheetViews>
  <sheetFormatPr baseColWidth="10" defaultRowHeight="15" x14ac:dyDescent="0.25"/>
  <cols>
    <col min="1" max="1" width="27.5703125" bestFit="1" customWidth="1"/>
    <col min="2" max="2" width="14" bestFit="1" customWidth="1"/>
    <col min="3" max="3" width="10.28515625" bestFit="1" customWidth="1"/>
    <col min="4" max="4" width="8.28515625" bestFit="1" customWidth="1"/>
    <col min="5" max="5" width="9" bestFit="1" customWidth="1"/>
    <col min="6" max="6" width="11.5703125" bestFit="1" customWidth="1"/>
    <col min="7" max="7" width="13.28515625" bestFit="1" customWidth="1"/>
  </cols>
  <sheetData>
    <row r="1" spans="1:7" x14ac:dyDescent="0.25">
      <c r="A1" s="1" t="s">
        <v>61</v>
      </c>
      <c r="B1" s="1" t="s">
        <v>87</v>
      </c>
      <c r="C1" s="1" t="s">
        <v>62</v>
      </c>
      <c r="D1" s="1" t="s">
        <v>85</v>
      </c>
      <c r="E1" s="6" t="s">
        <v>119</v>
      </c>
      <c r="F1" s="5" t="s">
        <v>122</v>
      </c>
      <c r="G1" s="5" t="s">
        <v>120</v>
      </c>
    </row>
    <row r="2" spans="1:7" x14ac:dyDescent="0.25">
      <c r="A2" s="21" t="s">
        <v>86</v>
      </c>
      <c r="B2" s="21" t="s">
        <v>76</v>
      </c>
      <c r="C2" s="21">
        <v>0.06</v>
      </c>
      <c r="D2" s="22" t="s">
        <v>125</v>
      </c>
      <c r="E2" s="23">
        <v>152000</v>
      </c>
      <c r="F2" s="22" t="s">
        <v>123</v>
      </c>
      <c r="G2" s="22"/>
    </row>
    <row r="3" spans="1:7" x14ac:dyDescent="0.25">
      <c r="A3" s="21" t="s">
        <v>88</v>
      </c>
      <c r="B3" s="21" t="s">
        <v>76</v>
      </c>
      <c r="C3" s="21">
        <v>450</v>
      </c>
      <c r="D3" s="22" t="s">
        <v>77</v>
      </c>
      <c r="E3" s="23">
        <v>1200</v>
      </c>
      <c r="F3" s="22" t="s">
        <v>117</v>
      </c>
      <c r="G3" s="22">
        <v>1</v>
      </c>
    </row>
    <row r="4" spans="1:7" x14ac:dyDescent="0.25">
      <c r="A4" s="21" t="s">
        <v>89</v>
      </c>
      <c r="B4" s="21" t="s">
        <v>76</v>
      </c>
      <c r="C4" s="21">
        <v>400</v>
      </c>
      <c r="D4" s="22" t="s">
        <v>77</v>
      </c>
      <c r="E4" s="23">
        <v>1500</v>
      </c>
      <c r="F4" s="22" t="s">
        <v>117</v>
      </c>
      <c r="G4" s="22">
        <v>1</v>
      </c>
    </row>
    <row r="5" spans="1:7" x14ac:dyDescent="0.25">
      <c r="A5" s="21" t="s">
        <v>90</v>
      </c>
      <c r="B5" s="21" t="s">
        <v>78</v>
      </c>
      <c r="C5" s="21">
        <v>540</v>
      </c>
      <c r="D5" s="22" t="s">
        <v>77</v>
      </c>
      <c r="E5" s="23">
        <v>63000</v>
      </c>
      <c r="F5" s="22" t="s">
        <v>117</v>
      </c>
      <c r="G5" s="22">
        <v>0.5</v>
      </c>
    </row>
    <row r="6" spans="1:7" x14ac:dyDescent="0.25">
      <c r="A6" s="21" t="s">
        <v>91</v>
      </c>
      <c r="B6" s="21" t="s">
        <v>78</v>
      </c>
      <c r="C6" s="21">
        <v>355</v>
      </c>
      <c r="D6" s="22" t="s">
        <v>77</v>
      </c>
      <c r="E6" s="23">
        <v>70000</v>
      </c>
      <c r="F6" s="22" t="s">
        <v>117</v>
      </c>
      <c r="G6" s="22">
        <v>0.5</v>
      </c>
    </row>
    <row r="7" spans="1:7" x14ac:dyDescent="0.25">
      <c r="A7" s="21" t="s">
        <v>92</v>
      </c>
      <c r="B7" s="21" t="s">
        <v>76</v>
      </c>
      <c r="C7" s="21">
        <v>395</v>
      </c>
      <c r="D7" s="22" t="s">
        <v>77</v>
      </c>
      <c r="E7" s="23">
        <v>35000</v>
      </c>
      <c r="F7" s="22" t="s">
        <v>117</v>
      </c>
      <c r="G7" s="22">
        <v>0.5</v>
      </c>
    </row>
    <row r="8" spans="1:7" x14ac:dyDescent="0.25">
      <c r="A8" s="21" t="s">
        <v>93</v>
      </c>
      <c r="B8" s="21" t="s">
        <v>78</v>
      </c>
      <c r="C8" s="21">
        <v>130</v>
      </c>
      <c r="D8" s="22" t="s">
        <v>77</v>
      </c>
      <c r="E8" s="23">
        <v>8000</v>
      </c>
      <c r="F8" s="22" t="s">
        <v>117</v>
      </c>
      <c r="G8" s="22">
        <v>0.5</v>
      </c>
    </row>
    <row r="9" spans="1:7" x14ac:dyDescent="0.25">
      <c r="A9" s="21" t="s">
        <v>94</v>
      </c>
      <c r="B9" s="21" t="s">
        <v>78</v>
      </c>
      <c r="C9" s="21">
        <v>55</v>
      </c>
      <c r="D9" s="22" t="s">
        <v>77</v>
      </c>
      <c r="E9" s="23">
        <v>14000</v>
      </c>
      <c r="F9" s="22" t="s">
        <v>117</v>
      </c>
      <c r="G9" s="22">
        <v>0.5</v>
      </c>
    </row>
    <row r="10" spans="1:7" x14ac:dyDescent="0.25">
      <c r="A10" s="21" t="s">
        <v>95</v>
      </c>
      <c r="B10" s="21" t="s">
        <v>78</v>
      </c>
      <c r="C10" s="21">
        <v>150</v>
      </c>
      <c r="D10" s="22" t="s">
        <v>77</v>
      </c>
      <c r="E10" s="23">
        <v>13500</v>
      </c>
      <c r="F10" s="22" t="s">
        <v>117</v>
      </c>
      <c r="G10" s="22">
        <v>0.5</v>
      </c>
    </row>
    <row r="11" spans="1:7" x14ac:dyDescent="0.25">
      <c r="A11" s="21" t="s">
        <v>96</v>
      </c>
      <c r="B11" s="21" t="s">
        <v>78</v>
      </c>
      <c r="C11" s="21">
        <v>80</v>
      </c>
      <c r="D11" s="22" t="s">
        <v>77</v>
      </c>
      <c r="E11" s="23">
        <v>15000</v>
      </c>
      <c r="F11" s="22" t="s">
        <v>117</v>
      </c>
      <c r="G11" s="22">
        <v>0.5</v>
      </c>
    </row>
    <row r="12" spans="1:7" x14ac:dyDescent="0.25">
      <c r="A12" s="21" t="s">
        <v>97</v>
      </c>
      <c r="B12" s="21" t="s">
        <v>78</v>
      </c>
      <c r="C12" s="21">
        <v>270</v>
      </c>
      <c r="D12" s="22" t="s">
        <v>77</v>
      </c>
      <c r="E12" s="23">
        <v>80000</v>
      </c>
      <c r="F12" s="22" t="s">
        <v>117</v>
      </c>
      <c r="G12" s="22">
        <v>0.3</v>
      </c>
    </row>
    <row r="13" spans="1:7" x14ac:dyDescent="0.25">
      <c r="A13" s="21" t="s">
        <v>98</v>
      </c>
      <c r="B13" s="21" t="s">
        <v>78</v>
      </c>
      <c r="C13" s="21">
        <v>120</v>
      </c>
      <c r="D13" s="22" t="s">
        <v>77</v>
      </c>
      <c r="E13" s="23">
        <v>56000</v>
      </c>
      <c r="F13" s="22" t="s">
        <v>117</v>
      </c>
      <c r="G13" s="22">
        <v>0.15</v>
      </c>
    </row>
    <row r="14" spans="1:7" x14ac:dyDescent="0.25">
      <c r="A14" s="21" t="s">
        <v>99</v>
      </c>
      <c r="B14" s="21" t="s">
        <v>78</v>
      </c>
      <c r="C14" s="21">
        <v>80</v>
      </c>
      <c r="D14" s="22" t="s">
        <v>77</v>
      </c>
      <c r="E14" s="23">
        <v>58000</v>
      </c>
      <c r="F14" s="22" t="s">
        <v>117</v>
      </c>
      <c r="G14" s="22">
        <v>0.1</v>
      </c>
    </row>
    <row r="15" spans="1:7" x14ac:dyDescent="0.25">
      <c r="A15" s="21" t="s">
        <v>100</v>
      </c>
      <c r="B15" s="21" t="s">
        <v>78</v>
      </c>
      <c r="C15" s="21">
        <v>220</v>
      </c>
      <c r="D15" s="22" t="s">
        <v>77</v>
      </c>
      <c r="E15" s="23">
        <v>2500</v>
      </c>
      <c r="F15" s="22" t="s">
        <v>117</v>
      </c>
      <c r="G15" s="22">
        <v>0.5</v>
      </c>
    </row>
    <row r="16" spans="1:7" x14ac:dyDescent="0.25">
      <c r="A16" s="21" t="s">
        <v>101</v>
      </c>
      <c r="B16" s="21" t="s">
        <v>78</v>
      </c>
      <c r="C16" s="21">
        <v>2025</v>
      </c>
      <c r="D16" s="22" t="s">
        <v>77</v>
      </c>
      <c r="E16" s="23">
        <v>112000</v>
      </c>
      <c r="F16" s="22" t="s">
        <v>118</v>
      </c>
      <c r="G16" s="22">
        <v>1</v>
      </c>
    </row>
    <row r="17" spans="1:7" x14ac:dyDescent="0.25">
      <c r="A17" s="21" t="s">
        <v>102</v>
      </c>
      <c r="B17" s="21" t="s">
        <v>79</v>
      </c>
      <c r="C17" s="21">
        <v>120</v>
      </c>
      <c r="D17" s="22" t="s">
        <v>77</v>
      </c>
      <c r="E17" s="23">
        <v>136500</v>
      </c>
      <c r="F17" s="22" t="s">
        <v>117</v>
      </c>
      <c r="G17" s="22">
        <v>0.12</v>
      </c>
    </row>
    <row r="18" spans="1:7" x14ac:dyDescent="0.25">
      <c r="A18" s="21" t="s">
        <v>103</v>
      </c>
      <c r="B18" s="21" t="s">
        <v>80</v>
      </c>
      <c r="C18" s="21">
        <v>160</v>
      </c>
      <c r="D18" s="22" t="s">
        <v>77</v>
      </c>
      <c r="E18" s="23">
        <v>4000</v>
      </c>
      <c r="F18" s="22" t="s">
        <v>117</v>
      </c>
      <c r="G18" s="22">
        <v>0.5</v>
      </c>
    </row>
    <row r="19" spans="1:7" x14ac:dyDescent="0.25">
      <c r="A19" s="21" t="s">
        <v>104</v>
      </c>
      <c r="B19" s="21" t="s">
        <v>76</v>
      </c>
      <c r="C19" s="21">
        <v>3450</v>
      </c>
      <c r="D19" s="22" t="s">
        <v>77</v>
      </c>
      <c r="E19" s="23">
        <f>17400*4</f>
        <v>69600</v>
      </c>
      <c r="F19" s="22" t="s">
        <v>121</v>
      </c>
      <c r="G19" s="22">
        <v>1</v>
      </c>
    </row>
    <row r="20" spans="1:7" x14ac:dyDescent="0.25">
      <c r="A20" s="21" t="s">
        <v>105</v>
      </c>
      <c r="B20" s="21" t="s">
        <v>76</v>
      </c>
      <c r="C20" s="21">
        <v>8000</v>
      </c>
      <c r="D20" s="22" t="s">
        <v>77</v>
      </c>
      <c r="E20" s="23">
        <f>20000*2</f>
        <v>40000</v>
      </c>
      <c r="F20" s="22" t="s">
        <v>118</v>
      </c>
      <c r="G20" s="22">
        <v>6</v>
      </c>
    </row>
    <row r="21" spans="1:7" ht="15.75" thickBot="1" x14ac:dyDescent="0.3">
      <c r="E21" s="7">
        <f>SUM(E2:E20)</f>
        <v>931800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BULONERIA</vt:lpstr>
      <vt:lpstr>OTROS</vt:lpstr>
      <vt:lpstr>ELECTRICOS</vt:lpstr>
      <vt:lpstr>MATERIALES METALICOS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Saavedra</dc:creator>
  <cp:lastModifiedBy>Diego Saavedra</cp:lastModifiedBy>
  <dcterms:created xsi:type="dcterms:W3CDTF">2015-06-05T18:19:34Z</dcterms:created>
  <dcterms:modified xsi:type="dcterms:W3CDTF">2025-12-13T15:46:10Z</dcterms:modified>
</cp:coreProperties>
</file>